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urchase Order" sheetId="1" state="visible" r:id="rId3"/>
    <sheet name="Performa Invoice" sheetId="2" state="visible" r:id="rId4"/>
    <sheet name="Tax Invoice" sheetId="3" state="visible" r:id="rId5"/>
    <sheet name="AmountWords" sheetId="4" state="hidden" r:id="rId6"/>
  </sheets>
  <definedNames>
    <definedName function="false" hidden="false" localSheetId="1" name="_xlnm.Print_Area" vbProcedure="false">'Performa Invoice'!$A$1:$K$53</definedName>
    <definedName function="false" hidden="false" localSheetId="0" name="_xlnm.Print_Area" vbProcedure="false">'Purchase Order'!$A$1:$K$53</definedName>
    <definedName function="false" hidden="false" localSheetId="2" name="_xlnm.Print_Area" vbProcedure="false">'Tax Invoice'!$A$1:$K$53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<sst xmlns="http://schemas.openxmlformats.org/spreadsheetml/2006/main" count="324" uniqueCount="182">
  <si>
    <t xml:space="preserve">WORLD COMMUNICATION
GIRLS SCHOOL ROAD, NEAR RAM MANDIR, KATIHAR, BIHAR - 854105
Abhishek.kumar@worldcommunication.in  |  Ph: 9284891845  |  GSTIN: 10ALQPK7914E1Z8</t>
  </si>
  <si>
    <t xml:space="preserve">AW_Crore</t>
  </si>
  <si>
    <t xml:space="preserve">AW_Lakh</t>
  </si>
  <si>
    <t xml:space="preserve">AW_Thousand</t>
  </si>
  <si>
    <t xml:space="preserve">AW_Hundred</t>
  </si>
  <si>
    <t xml:space="preserve">AW_Last2</t>
  </si>
  <si>
    <t xml:space="preserve">AW_Paise</t>
  </si>
  <si>
    <t xml:space="preserve">AW_CroreWord</t>
  </si>
  <si>
    <t xml:space="preserve">AW_LakhWord</t>
  </si>
  <si>
    <t xml:space="preserve">AW_ThousandWord</t>
  </si>
  <si>
    <t xml:space="preserve">AW_HundredWord</t>
  </si>
  <si>
    <t xml:space="preserve">AW_Last2Word</t>
  </si>
  <si>
    <t xml:space="preserve">AW_PaiseWord</t>
  </si>
  <si>
    <t xml:space="preserve">PURCHASE ORDER</t>
  </si>
  <si>
    <t xml:space="preserve">PO No.</t>
  </si>
  <si>
    <t xml:space="preserve">WC/PO/________________</t>
  </si>
  <si>
    <t xml:space="preserve">SUPPLIER / VENDOR DETAILS
Company Name: __________________________
Address: _______________________________
GSTIN: ______________ State: ____________
Contact Person: _________________________
Email: __________________________________
Phone: __________________________________</t>
  </si>
  <si>
    <t xml:space="preserve">PO Date</t>
  </si>
  <si>
    <t xml:space="preserve">__/__/____</t>
  </si>
  <si>
    <t xml:space="preserve">Delivery Due Date</t>
  </si>
  <si>
    <t xml:space="preserve">Payment Terms</t>
  </si>
  <si>
    <t xml:space="preserve">30% Advance with PO, Rest 70% before Dispatch</t>
  </si>
  <si>
    <t xml:space="preserve">Delivery Terms</t>
  </si>
  <si>
    <t xml:space="preserve">Ex-Works / To Pay</t>
  </si>
  <si>
    <t xml:space="preserve">Currency</t>
  </si>
  <si>
    <t xml:space="preserve">INR</t>
  </si>
  <si>
    <t xml:space="preserve">BILL TO:
WORLD COMMUNICATION
Girls School Road, Near Ram Mandir,
Katihar, Bihar - 854105
GSTIN: 10ALQPK7914E1Z8</t>
  </si>
  <si>
    <t xml:space="preserve">SHIP TO:
WORLD COMMUNICATION
Girls School Road, Near Ram Mandir,
Katihar, Bihar - 854105
GSTIN: 10ALQPK7914E1Z8</t>
  </si>
  <si>
    <t xml:space="preserve">S. No.</t>
  </si>
  <si>
    <t xml:space="preserve">Description of Goods / Services</t>
  </si>
  <si>
    <t xml:space="preserve">Model / Part No.</t>
  </si>
  <si>
    <t xml:space="preserve">HSN/SAC</t>
  </si>
  <si>
    <t xml:space="preserve">Qty</t>
  </si>
  <si>
    <t xml:space="preserve">Rate (₹)</t>
  </si>
  <si>
    <t xml:space="preserve">Amount (₹)</t>
  </si>
  <si>
    <t xml:space="preserve">SPECIAL INSTRUCTIONS / NOTES</t>
  </si>
  <si>
    <t xml:space="preserve">Sub Total (₹)</t>
  </si>
  <si>
    <t xml:space="preserve">Courier / Other Charges (₹)</t>
  </si>
  <si>
    <t xml:space="preserve">Taxable Amount (₹)</t>
  </si>
  <si>
    <t xml:space="preserve">GST MODE (Select)</t>
  </si>
  <si>
    <t xml:space="preserve">CGST + SGST</t>
  </si>
  <si>
    <t xml:space="preserve">CGST @ 9% (₹)</t>
  </si>
  <si>
    <t xml:space="preserve">9.00%</t>
  </si>
  <si>
    <t xml:space="preserve">SGST @ 9% (₹)</t>
  </si>
  <si>
    <t xml:space="preserve">IGST @ 9% (₹)</t>
  </si>
  <si>
    <t xml:space="preserve">TOTAL GST (₹)</t>
  </si>
  <si>
    <t xml:space="preserve">Round Off (₹)</t>
  </si>
  <si>
    <t xml:space="preserve">GRAND TOTAL (₹)</t>
  </si>
  <si>
    <t xml:space="preserve">BANK DETAILS
Account Holder: WORLD COMMUNICATION
Bank Name: State Bank of India
Account Number: 32204185051
Branch: (12637) DURGASTHAN KATIHAR
IFSC Code: SBIN0012637</t>
  </si>
  <si>
    <t xml:space="preserve">FOR WORLD COMMUNICATION
_______________________________
Authorised Signatory</t>
  </si>
  <si>
    <t xml:space="preserve">TERMS AND CONDITIONS:</t>
  </si>
  <si>
    <t xml:space="preserve">1</t>
  </si>
  <si>
    <t xml:space="preserve">Scope</t>
  </si>
  <si>
    <t xml:space="preserve">Supplier shall supply goods/services strictly as per PO specifications, quantity, and delivery schedule.</t>
  </si>
  <si>
    <t xml:space="preserve">2</t>
  </si>
  <si>
    <t xml:space="preserve">Price</t>
  </si>
  <si>
    <t xml:space="preserve">Prices are firm and inclusive/exclusive of taxes as mentioned in the PO. No variation is allowed without written approval of the Purchaser.</t>
  </si>
  <si>
    <t xml:space="preserve">3</t>
  </si>
  <si>
    <t xml:space="preserve">Delivery</t>
  </si>
  <si>
    <t xml:space="preserve">30% Payment along with the PO and PDC Delivery shall be applicable within the stipulated time i.e. 20 Days From the date of Shipment.</t>
  </si>
  <si>
    <t xml:space="preserve">4</t>
  </si>
  <si>
    <t xml:space="preserve">Termination</t>
  </si>
  <si>
    <t xml:space="preserve">Purchaser reserves the right to terminate the PO partially or fully in case of breach, delay.</t>
  </si>
  <si>
    <t xml:space="preserve">5</t>
  </si>
  <si>
    <t xml:space="preserve">Force Majeure</t>
  </si>
  <si>
    <t xml:space="preserve">Neither party shall be liable for delays due to force majeure conditions.</t>
  </si>
  <si>
    <t xml:space="preserve">6</t>
  </si>
  <si>
    <t xml:space="preserve">Warranty</t>
  </si>
  <si>
    <t xml:space="preserve">Supplier shall provide warranty as per OEM/manufacturer terms from the date of acceptance.</t>
  </si>
  <si>
    <t xml:space="preserve">This is a Computer Generated Document                                      E. &amp; O.E.</t>
  </si>
  <si>
    <t xml:space="preserve">PERFORMA INVOICE</t>
  </si>
  <si>
    <t xml:space="preserve">PI No.</t>
  </si>
  <si>
    <t xml:space="preserve">WC/PI/________________</t>
  </si>
  <si>
    <t xml:space="preserve">BUYER DETAILS
Company Name: __________________________
Address: _______________________________
GSTIN: ______________ State: ____________
Contact Person: _________________________
Email: __________________________________
Phone: __________________________________</t>
  </si>
  <si>
    <t xml:space="preserve">PI Date</t>
  </si>
  <si>
    <t xml:space="preserve">Valid Till</t>
  </si>
  <si>
    <t xml:space="preserve">TAX INVOICE</t>
  </si>
  <si>
    <t xml:space="preserve">Invoice No.</t>
  </si>
  <si>
    <t xml:space="preserve">WC/INV/________________</t>
  </si>
  <si>
    <t xml:space="preserve">Invoice Date</t>
  </si>
  <si>
    <t xml:space="preserve">________________</t>
  </si>
  <si>
    <t xml:space="preserve">Place of Supply</t>
  </si>
  <si>
    <t xml:space="preserve">Zero</t>
  </si>
  <si>
    <t xml:space="preserve">One</t>
  </si>
  <si>
    <t xml:space="preserve">Two</t>
  </si>
  <si>
    <t xml:space="preserve">Three</t>
  </si>
  <si>
    <t xml:space="preserve">Four</t>
  </si>
  <si>
    <t xml:space="preserve">Five</t>
  </si>
  <si>
    <t xml:space="preserve">Six</t>
  </si>
  <si>
    <t xml:space="preserve">Seven</t>
  </si>
  <si>
    <t xml:space="preserve">Eight</t>
  </si>
  <si>
    <t xml:space="preserve">Nine</t>
  </si>
  <si>
    <t xml:space="preserve">Ten</t>
  </si>
  <si>
    <t xml:space="preserve">Eleven</t>
  </si>
  <si>
    <t xml:space="preserve">Twelve</t>
  </si>
  <si>
    <t xml:space="preserve">Thirteen</t>
  </si>
  <si>
    <t xml:space="preserve">Fourteen</t>
  </si>
  <si>
    <t xml:space="preserve">Fifteen</t>
  </si>
  <si>
    <t xml:space="preserve">Sixteen</t>
  </si>
  <si>
    <t xml:space="preserve">Seventeen</t>
  </si>
  <si>
    <t xml:space="preserve">Eighteen</t>
  </si>
  <si>
    <t xml:space="preserve">Nineteen</t>
  </si>
  <si>
    <t xml:space="preserve">Twenty</t>
  </si>
  <si>
    <t xml:space="preserve">Twenty One</t>
  </si>
  <si>
    <t xml:space="preserve">Twenty Two</t>
  </si>
  <si>
    <t xml:space="preserve">Twenty Three</t>
  </si>
  <si>
    <t xml:space="preserve">Twenty Four</t>
  </si>
  <si>
    <t xml:space="preserve">Twenty Five</t>
  </si>
  <si>
    <t xml:space="preserve">Twenty Six</t>
  </si>
  <si>
    <t xml:space="preserve">Twenty Seven</t>
  </si>
  <si>
    <t xml:space="preserve">Twenty Eight</t>
  </si>
  <si>
    <t xml:space="preserve">Twenty Nine</t>
  </si>
  <si>
    <t xml:space="preserve">Thirty</t>
  </si>
  <si>
    <t xml:space="preserve">Thirty One</t>
  </si>
  <si>
    <t xml:space="preserve">Thirty Two</t>
  </si>
  <si>
    <t xml:space="preserve">Thirty Three</t>
  </si>
  <si>
    <t xml:space="preserve">Thirty Four</t>
  </si>
  <si>
    <t xml:space="preserve">Thirty Five</t>
  </si>
  <si>
    <t xml:space="preserve">Thirty Six</t>
  </si>
  <si>
    <t xml:space="preserve">Thirty Seven</t>
  </si>
  <si>
    <t xml:space="preserve">Thirty Eight</t>
  </si>
  <si>
    <t xml:space="preserve">Thirty Nine</t>
  </si>
  <si>
    <t xml:space="preserve">Forty</t>
  </si>
  <si>
    <t xml:space="preserve">Forty One</t>
  </si>
  <si>
    <t xml:space="preserve">Forty Two</t>
  </si>
  <si>
    <t xml:space="preserve">Forty Three</t>
  </si>
  <si>
    <t xml:space="preserve">Forty Four</t>
  </si>
  <si>
    <t xml:space="preserve">Forty Five</t>
  </si>
  <si>
    <t xml:space="preserve">Forty Six</t>
  </si>
  <si>
    <t xml:space="preserve">Forty Seven</t>
  </si>
  <si>
    <t xml:space="preserve">Forty Eight</t>
  </si>
  <si>
    <t xml:space="preserve">Forty Nine</t>
  </si>
  <si>
    <t xml:space="preserve">Fifty</t>
  </si>
  <si>
    <t xml:space="preserve">Fifty One</t>
  </si>
  <si>
    <t xml:space="preserve">Fifty Two</t>
  </si>
  <si>
    <t xml:space="preserve">Fifty Three</t>
  </si>
  <si>
    <t xml:space="preserve">Fifty Four</t>
  </si>
  <si>
    <t xml:space="preserve">Fifty Five</t>
  </si>
  <si>
    <t xml:space="preserve">Fifty Six</t>
  </si>
  <si>
    <t xml:space="preserve">Fifty Seven</t>
  </si>
  <si>
    <t xml:space="preserve">Fifty Eight</t>
  </si>
  <si>
    <t xml:space="preserve">Fifty Nine</t>
  </si>
  <si>
    <t xml:space="preserve">Sixty</t>
  </si>
  <si>
    <t xml:space="preserve">Sixty One</t>
  </si>
  <si>
    <t xml:space="preserve">Sixty Two</t>
  </si>
  <si>
    <t xml:space="preserve">Sixty Three</t>
  </si>
  <si>
    <t xml:space="preserve">Sixty Four</t>
  </si>
  <si>
    <t xml:space="preserve">Sixty Five</t>
  </si>
  <si>
    <t xml:space="preserve">Sixty Six</t>
  </si>
  <si>
    <t xml:space="preserve">Sixty Seven</t>
  </si>
  <si>
    <t xml:space="preserve">Sixty Eight</t>
  </si>
  <si>
    <t xml:space="preserve">Sixty Nine</t>
  </si>
  <si>
    <t xml:space="preserve">Seventy</t>
  </si>
  <si>
    <t xml:space="preserve">Seventy One</t>
  </si>
  <si>
    <t xml:space="preserve">Seventy Two</t>
  </si>
  <si>
    <t xml:space="preserve">Seventy Three</t>
  </si>
  <si>
    <t xml:space="preserve">Seventy Four</t>
  </si>
  <si>
    <t xml:space="preserve">Seventy Five</t>
  </si>
  <si>
    <t xml:space="preserve">Seventy Six</t>
  </si>
  <si>
    <t xml:space="preserve">Seventy Seven</t>
  </si>
  <si>
    <t xml:space="preserve">Seventy Eight</t>
  </si>
  <si>
    <t xml:space="preserve">Seventy Nine</t>
  </si>
  <si>
    <t xml:space="preserve">Eighty</t>
  </si>
  <si>
    <t xml:space="preserve">Eighty One</t>
  </si>
  <si>
    <t xml:space="preserve">Eighty Two</t>
  </si>
  <si>
    <t xml:space="preserve">Eighty Three</t>
  </si>
  <si>
    <t xml:space="preserve">Eighty Four</t>
  </si>
  <si>
    <t xml:space="preserve">Eighty Five</t>
  </si>
  <si>
    <t xml:space="preserve">Eighty Six</t>
  </si>
  <si>
    <t xml:space="preserve">Eighty Seven</t>
  </si>
  <si>
    <t xml:space="preserve">Eighty Eight</t>
  </si>
  <si>
    <t xml:space="preserve">Eighty Nine</t>
  </si>
  <si>
    <t xml:space="preserve">Ninety</t>
  </si>
  <si>
    <t xml:space="preserve">Ninety One</t>
  </si>
  <si>
    <t xml:space="preserve">Ninety Two</t>
  </si>
  <si>
    <t xml:space="preserve">Ninety Three</t>
  </si>
  <si>
    <t xml:space="preserve">Ninety Four</t>
  </si>
  <si>
    <t xml:space="preserve">Ninety Five</t>
  </si>
  <si>
    <t xml:space="preserve">Ninety Six</t>
  </si>
  <si>
    <t xml:space="preserve">Ninety Seven</t>
  </si>
  <si>
    <t xml:space="preserve">Ninety Eight</t>
  </si>
  <si>
    <t xml:space="preserve">Ninety Nine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</si>
</sst>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241B"/>
      <name val="Arial"/>
      <family val="2"/>
      <charset val="1"/>
    </font>
    <font>
      <b val="true"/>
      <sz val="9.5"/>
      <color rgb="FFFFFFFF"/>
      <name val="Arial"/>
      <family val="0"/>
      <charset val="1"/>
    </font>
    <font>
      <b val="true"/>
      <sz val="6.5"/>
      <color rgb="FF2F241B"/>
      <name val="Arial"/>
      <family val="0"/>
      <charset val="1"/>
    </font>
    <font>
      <sz val="6.5"/>
      <color rgb="FF2F241B"/>
      <name val="Arial"/>
      <family val="0"/>
      <charset val="1"/>
    </font>
    <font>
      <b val="true"/>
      <sz val="6.6"/>
      <color rgb="FF2F241B"/>
      <name val="Arial"/>
      <family val="0"/>
      <charset val="1"/>
    </font>
    <font>
      <sz val="6.7"/>
      <color rgb="FF2F241B"/>
      <name val="Arial"/>
      <family val="0"/>
      <charset val="1"/>
    </font>
    <font>
      <b val="true"/>
      <sz val="6.4"/>
      <color rgb="FFFFFFFF"/>
      <name val="Arial"/>
      <family val="0"/>
      <charset val="1"/>
    </font>
    <font>
      <sz val="6.2"/>
      <color rgb="FF2F241B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6.8"/>
      <color rgb="FF2F241B"/>
      <name val="Arial"/>
      <family val="0"/>
      <charset val="1"/>
    </font>
    <font>
      <sz val="7"/>
      <color rgb="FF2F241B"/>
      <name val="Arial"/>
      <family val="0"/>
      <charset val="1"/>
    </font>
    <font>
      <b val="true"/>
      <sz val="6.3"/>
      <color rgb="FF2F241B"/>
      <name val="Arial"/>
      <family val="0"/>
      <charset val="1"/>
    </font>
    <font>
      <sz val="6.3"/>
      <color rgb="FF2F241B"/>
      <name val="Arial"/>
      <family val="0"/>
      <charset val="1"/>
    </font>
    <font>
      <b val="true"/>
      <sz val="7"/>
      <color rgb="FF2F241B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7.2"/>
      <color rgb="FF2F241B"/>
      <name val="Arial"/>
      <family val="0"/>
      <charset val="1"/>
    </font>
    <font>
      <b val="true"/>
      <sz val="6.1"/>
      <color rgb="FF2F241B"/>
      <name val="Arial"/>
      <family val="0"/>
      <charset val="1"/>
    </font>
    <font>
      <sz val="6.1"/>
      <color rgb="FF2F241B"/>
      <name val="Arial"/>
      <family val="0"/>
      <charset val="1"/>
    </font>
    <font>
      <b val="true"/>
      <sz val="7.5"/>
      <color rgb="FF2F241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7F2E8"/>
        <bgColor rgb="FFFBF8F1"/>
      </patternFill>
    </fill>
    <fill>
      <patternFill patternType="solid">
        <fgColor rgb="FF5B3515"/>
        <bgColor rgb="FF2F241B"/>
      </patternFill>
    </fill>
    <fill>
      <patternFill patternType="solid">
        <fgColor rgb="FFFBF8F1"/>
        <bgColor rgb="FFF7F2E8"/>
      </patternFill>
    </fill>
    <fill>
      <patternFill patternType="solid">
        <fgColor rgb="FFE8E1D5"/>
        <bgColor rgb="FFF7F2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79F"/>
      </left>
      <right style="thin">
        <color rgb="FFC9B79F"/>
      </right>
      <top style="thin">
        <color rgb="FFC9B79F"/>
      </top>
      <bottom style="thin">
        <color rgb="FFC9B79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79F"/>
      <rgbColor rgb="FF808080"/>
      <rgbColor rgb="FF9999FF"/>
      <rgbColor rgb="FF993366"/>
      <rgbColor rgb="FFFBF8F1"/>
      <rgbColor rgb="FFF7F2E8"/>
      <rgbColor rgb="FF660066"/>
      <rgbColor rgb="FFFF8080"/>
      <rgbColor rgb="FF0066CC"/>
      <rgbColor rgb="FFE8E1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5B3515"/>
      <rgbColor rgb="FF993300"/>
      <rgbColor rgb="FF993366"/>
      <rgbColor rgb="FF333399"/>
      <rgbColor rgb="FF2F24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924120</xdr:colOff>
      <xdr:row>0</xdr:row>
      <xdr:rowOff>637920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476000" cy="637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924120</xdr:colOff>
      <xdr:row>0</xdr:row>
      <xdr:rowOff>637920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476000" cy="637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924120</xdr:colOff>
      <xdr:row>0</xdr:row>
      <xdr:rowOff>637920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1476000" cy="637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5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I19" activeCellId="0" sqref="I19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44.16"/>
    <col collapsed="false" customWidth="true" hidden="false" outlineLevel="0" max="3" min="3" style="0" width="22.16"/>
    <col collapsed="false" customWidth="true" hidden="false" outlineLevel="0" max="4" min="4" style="0" width="19"/>
    <col collapsed="false" customWidth="true" hidden="false" outlineLevel="0" max="5" min="5" style="0" width="14.16"/>
    <col collapsed="false" customWidth="true" hidden="false" outlineLevel="0" max="6" min="6" style="0" width="19"/>
    <col collapsed="false" customWidth="true" hidden="false" outlineLevel="0" max="7" min="7" style="0" width="22.16"/>
    <col collapsed="false" customWidth="true" hidden="false" outlineLevel="0" max="11" min="8" style="0" width="20.51"/>
    <col collapsed="false" customWidth="true" hidden="true" outlineLevel="0" max="18" min="13" style="0" width="13"/>
    <col collapsed="false" customWidth="true" hidden="true" outlineLevel="0" max="25" min="20" style="0" width="13"/>
  </cols>
  <sheetData>
    <row r="1" customFormat="false" ht="57.75" hidden="false" customHeight="true" outlineLevel="0" collapsed="false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M1" s="0" t="s">
        <v>1</v>
      </c>
      <c r="N1" s="0" t="s">
        <v>2</v>
      </c>
      <c r="O1" s="0" t="s">
        <v>3</v>
      </c>
      <c r="P1" s="0" t="s">
        <v>4</v>
      </c>
      <c r="Q1" s="0" t="s">
        <v>5</v>
      </c>
      <c r="R1" s="0" t="s">
        <v>6</v>
      </c>
      <c r="T1" s="0" t="s">
        <v>7</v>
      </c>
      <c r="U1" s="0" t="s">
        <v>8</v>
      </c>
      <c r="V1" s="0" t="s">
        <v>9</v>
      </c>
      <c r="W1" s="0" t="s">
        <v>10</v>
      </c>
      <c r="X1" s="0" t="s">
        <v>11</v>
      </c>
      <c r="Y1" s="0" t="s">
        <v>12</v>
      </c>
    </row>
    <row r="2" customFormat="false" ht="16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M2" s="0" t="n">
        <f aca="false">INT(K38/10000000)</f>
        <v>0</v>
      </c>
      <c r="N2" s="0" t="n">
        <f aca="false">MOD(INT(K38/100000),100)</f>
        <v>0</v>
      </c>
      <c r="O2" s="0" t="n">
        <f aca="false">MOD(INT(K38/1000),100)</f>
        <v>0</v>
      </c>
      <c r="P2" s="0" t="n">
        <f aca="false">MOD(INT(K38/100),10)</f>
        <v>0</v>
      </c>
      <c r="Q2" s="0" t="n">
        <f aca="false">MOD(K38,100)</f>
        <v>0</v>
      </c>
      <c r="R2" s="0" t="n">
        <f aca="false">ROUND((K38-INT(K38))*100,0)</f>
        <v>0</v>
      </c>
      <c r="T2" s="0" t="str">
        <f aca="false">IF(M2=0,"",VLOOKUP(M2,AmountWords!$A$1:$B$100,2,FALSE())&amp;" Crore")</f>
        <v/>
      </c>
      <c r="U2" s="0" t="str">
        <f aca="false">IF(N2=0,"",VLOOKUP(N2,AmountWords!$A$1:$B$100,2,FALSE())&amp;" Lakh")</f>
        <v/>
      </c>
      <c r="V2" s="0" t="str">
        <f aca="false">IF(O2=0,"",VLOOKUP(O2,AmountWords!$A$1:$B$100,2,FALSE())&amp;" Thousand")</f>
        <v/>
      </c>
      <c r="W2" s="0" t="str">
        <f aca="false">IF(P2=0,"",VLOOKUP(P2,AmountWords!$A$1:$B$100,2,FALSE())&amp;" Hundred")</f>
        <v/>
      </c>
      <c r="X2" s="0" t="str">
        <f aca="false">IF(Q2=0,"",VLOOKUP(Q2,AmountWords!$A$1:$B$100,2,FALSE()))</f>
        <v/>
      </c>
      <c r="Y2" s="0" t="str">
        <f aca="false">IF(R2=0,"","and "&amp;VLOOKUP(R2,AmountWords!$A$1:$B$100,2,FALSE())&amp;" Paise")</f>
        <v/>
      </c>
    </row>
    <row r="3" customFormat="false" ht="19.5" hidden="false" customHeight="true" outlineLevel="0" collapsed="false">
      <c r="A3" s="1"/>
      <c r="B3" s="1"/>
      <c r="C3" s="3" t="s">
        <v>13</v>
      </c>
      <c r="D3" s="3"/>
      <c r="E3" s="3"/>
      <c r="F3" s="3"/>
      <c r="G3" s="3"/>
      <c r="H3" s="3"/>
      <c r="I3" s="3"/>
      <c r="J3" s="1"/>
      <c r="K3" s="1"/>
    </row>
    <row r="4" customFormat="false" ht="16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16.5" hidden="false" customHeight="true" outlineLevel="0" collapsed="false">
      <c r="A5" s="4" t="s">
        <v>14</v>
      </c>
      <c r="B5" s="4"/>
      <c r="C5" s="5" t="s">
        <v>15</v>
      </c>
      <c r="D5" s="5"/>
      <c r="E5" s="5"/>
      <c r="F5" s="6" t="s">
        <v>16</v>
      </c>
      <c r="G5" s="6"/>
      <c r="H5" s="6"/>
      <c r="I5" s="6"/>
      <c r="J5" s="6"/>
      <c r="K5" s="6"/>
    </row>
    <row r="6" customFormat="false" ht="16.5" hidden="false" customHeight="true" outlineLevel="0" collapsed="false">
      <c r="A6" s="4" t="s">
        <v>17</v>
      </c>
      <c r="B6" s="4"/>
      <c r="C6" s="5" t="s">
        <v>18</v>
      </c>
      <c r="D6" s="5"/>
      <c r="E6" s="5"/>
      <c r="F6" s="6"/>
      <c r="G6" s="6"/>
      <c r="H6" s="6"/>
      <c r="I6" s="6"/>
      <c r="J6" s="6"/>
      <c r="K6" s="6"/>
    </row>
    <row r="7" customFormat="false" ht="16.5" hidden="false" customHeight="true" outlineLevel="0" collapsed="false">
      <c r="A7" s="4" t="s">
        <v>19</v>
      </c>
      <c r="B7" s="4"/>
      <c r="C7" s="5" t="s">
        <v>18</v>
      </c>
      <c r="D7" s="5"/>
      <c r="E7" s="5"/>
      <c r="F7" s="6"/>
      <c r="G7" s="6"/>
      <c r="H7" s="6"/>
      <c r="I7" s="6"/>
      <c r="J7" s="6"/>
      <c r="K7" s="6"/>
    </row>
    <row r="8" customFormat="false" ht="16.5" hidden="false" customHeight="true" outlineLevel="0" collapsed="false">
      <c r="A8" s="4" t="s">
        <v>20</v>
      </c>
      <c r="B8" s="4"/>
      <c r="C8" s="5" t="s">
        <v>21</v>
      </c>
      <c r="D8" s="5"/>
      <c r="E8" s="5"/>
      <c r="F8" s="6"/>
      <c r="G8" s="6"/>
      <c r="H8" s="6"/>
      <c r="I8" s="6"/>
      <c r="J8" s="6"/>
      <c r="K8" s="6"/>
    </row>
    <row r="9" customFormat="false" ht="16.5" hidden="false" customHeight="true" outlineLevel="0" collapsed="false">
      <c r="A9" s="4" t="s">
        <v>22</v>
      </c>
      <c r="B9" s="4"/>
      <c r="C9" s="5" t="s">
        <v>23</v>
      </c>
      <c r="D9" s="5"/>
      <c r="E9" s="5"/>
      <c r="F9" s="6"/>
      <c r="G9" s="6"/>
      <c r="H9" s="6"/>
      <c r="I9" s="6"/>
      <c r="J9" s="6"/>
      <c r="K9" s="6"/>
    </row>
    <row r="10" customFormat="false" ht="16.5" hidden="false" customHeight="true" outlineLevel="0" collapsed="false">
      <c r="A10" s="4" t="s">
        <v>24</v>
      </c>
      <c r="B10" s="4"/>
      <c r="C10" s="5" t="s">
        <v>25</v>
      </c>
      <c r="D10" s="5"/>
      <c r="E10" s="5"/>
      <c r="F10" s="6"/>
      <c r="G10" s="6"/>
      <c r="H10" s="6"/>
      <c r="I10" s="6"/>
      <c r="J10" s="6"/>
      <c r="K10" s="6"/>
    </row>
    <row r="11" customFormat="false" ht="16.5" hidden="false" customHeight="true" outlineLevel="0" collapsed="false">
      <c r="A11" s="7"/>
      <c r="B11" s="7"/>
      <c r="C11" s="7"/>
      <c r="D11" s="7"/>
      <c r="E11" s="7"/>
      <c r="F11" s="6"/>
      <c r="G11" s="6"/>
      <c r="H11" s="6"/>
      <c r="I11" s="6"/>
      <c r="J11" s="6"/>
      <c r="K11" s="6"/>
    </row>
    <row r="12" customFormat="false" ht="16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customFormat="false" ht="16.5" hidden="false" customHeight="true" outlineLevel="0" collapsed="false">
      <c r="A13" s="8" t="s">
        <v>26</v>
      </c>
      <c r="B13" s="8"/>
      <c r="C13" s="8"/>
      <c r="D13" s="8"/>
      <c r="E13" s="8"/>
      <c r="F13" s="8" t="s">
        <v>27</v>
      </c>
      <c r="G13" s="8"/>
      <c r="H13" s="8"/>
      <c r="I13" s="8"/>
      <c r="J13" s="8"/>
      <c r="K13" s="8"/>
    </row>
    <row r="14" customFormat="false" ht="16.5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customFormat="false" ht="16.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customFormat="false" ht="16.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customFormat="false" ht="16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customFormat="false" ht="16.5" hidden="false" customHeight="true" outlineLevel="0" collapsed="false">
      <c r="A18" s="9" t="s">
        <v>28</v>
      </c>
      <c r="B18" s="9" t="s">
        <v>29</v>
      </c>
      <c r="C18" s="9"/>
      <c r="D18" s="9"/>
      <c r="E18" s="9" t="s">
        <v>30</v>
      </c>
      <c r="F18" s="9"/>
      <c r="G18" s="9" t="s">
        <v>31</v>
      </c>
      <c r="H18" s="9" t="s">
        <v>32</v>
      </c>
      <c r="I18" s="9" t="s">
        <v>33</v>
      </c>
      <c r="J18" s="9" t="s">
        <v>34</v>
      </c>
      <c r="K18" s="9"/>
    </row>
    <row r="19" customFormat="false" ht="16.5" hidden="false" customHeight="true" outlineLevel="0" collapsed="false">
      <c r="A19" s="10" t="n">
        <v>1</v>
      </c>
      <c r="B19" s="11"/>
      <c r="C19" s="11"/>
      <c r="D19" s="11"/>
      <c r="E19" s="10"/>
      <c r="F19" s="10"/>
      <c r="G19" s="10"/>
      <c r="H19" s="10"/>
      <c r="I19" s="12"/>
      <c r="J19" s="12" t="str">
        <f aca="false">IF(OR(H19="",I19=""),"",H19*I19)</f>
        <v/>
      </c>
      <c r="K19" s="12"/>
    </row>
    <row r="20" customFormat="false" ht="16.5" hidden="false" customHeight="true" outlineLevel="0" collapsed="false">
      <c r="A20" s="10" t="n">
        <v>2</v>
      </c>
      <c r="B20" s="11"/>
      <c r="C20" s="11"/>
      <c r="D20" s="11"/>
      <c r="E20" s="10"/>
      <c r="F20" s="10"/>
      <c r="G20" s="10"/>
      <c r="H20" s="10"/>
      <c r="I20" s="12"/>
      <c r="J20" s="12" t="str">
        <f aca="false">IF(OR(H20="",I20=""),"",H20*I20)</f>
        <v/>
      </c>
      <c r="K20" s="12"/>
    </row>
    <row r="21" customFormat="false" ht="16.5" hidden="false" customHeight="true" outlineLevel="0" collapsed="false">
      <c r="A21" s="10" t="n">
        <v>3</v>
      </c>
      <c r="B21" s="11"/>
      <c r="C21" s="11"/>
      <c r="D21" s="11"/>
      <c r="E21" s="10"/>
      <c r="F21" s="10"/>
      <c r="G21" s="10"/>
      <c r="H21" s="10"/>
      <c r="I21" s="12"/>
      <c r="J21" s="12" t="str">
        <f aca="false">IF(OR(H21="",I21=""),"",H21*I21)</f>
        <v/>
      </c>
      <c r="K21" s="12"/>
    </row>
    <row r="22" customFormat="false" ht="16.5" hidden="false" customHeight="true" outlineLevel="0" collapsed="false">
      <c r="A22" s="10" t="n">
        <v>4</v>
      </c>
      <c r="B22" s="11"/>
      <c r="C22" s="11"/>
      <c r="D22" s="11"/>
      <c r="E22" s="10"/>
      <c r="F22" s="10"/>
      <c r="G22" s="10"/>
      <c r="H22" s="10"/>
      <c r="I22" s="12"/>
      <c r="J22" s="12" t="str">
        <f aca="false">IF(OR(H22="",I22=""),"",H22*I22)</f>
        <v/>
      </c>
      <c r="K22" s="12"/>
    </row>
    <row r="23" customFormat="false" ht="16.5" hidden="false" customHeight="true" outlineLevel="0" collapsed="false">
      <c r="A23" s="10" t="n">
        <v>5</v>
      </c>
      <c r="B23" s="11"/>
      <c r="C23" s="11"/>
      <c r="D23" s="11"/>
      <c r="E23" s="10"/>
      <c r="F23" s="10"/>
      <c r="G23" s="10"/>
      <c r="H23" s="10"/>
      <c r="I23" s="12"/>
      <c r="J23" s="12" t="str">
        <f aca="false">IF(OR(H23="",I23=""),"",H23*I23)</f>
        <v/>
      </c>
      <c r="K23" s="12"/>
    </row>
    <row r="24" customFormat="false" ht="16.5" hidden="false" customHeight="true" outlineLevel="0" collapsed="false">
      <c r="A24" s="10" t="n">
        <v>6</v>
      </c>
      <c r="B24" s="11"/>
      <c r="C24" s="11"/>
      <c r="D24" s="11"/>
      <c r="E24" s="10"/>
      <c r="F24" s="10"/>
      <c r="G24" s="10"/>
      <c r="H24" s="10"/>
      <c r="I24" s="12"/>
      <c r="J24" s="12" t="str">
        <f aca="false">IF(OR(H24="",I24=""),"",H24*I24)</f>
        <v/>
      </c>
      <c r="K24" s="12"/>
    </row>
    <row r="25" customFormat="false" ht="16.5" hidden="false" customHeight="true" outlineLevel="0" collapsed="false">
      <c r="A25" s="10" t="n">
        <v>7</v>
      </c>
      <c r="B25" s="11"/>
      <c r="C25" s="11"/>
      <c r="D25" s="11"/>
      <c r="E25" s="10"/>
      <c r="F25" s="10"/>
      <c r="G25" s="10"/>
      <c r="H25" s="10"/>
      <c r="I25" s="12"/>
      <c r="J25" s="12" t="str">
        <f aca="false">IF(OR(H25="",I25=""),"",H25*I25)</f>
        <v/>
      </c>
      <c r="K25" s="12"/>
    </row>
    <row r="26" customFormat="false" ht="16.5" hidden="false" customHeight="true" outlineLevel="0" collapsed="false">
      <c r="A26" s="10" t="n">
        <v>8</v>
      </c>
      <c r="B26" s="11"/>
      <c r="C26" s="11"/>
      <c r="D26" s="11"/>
      <c r="E26" s="10"/>
      <c r="F26" s="10"/>
      <c r="G26" s="10"/>
      <c r="H26" s="10"/>
      <c r="I26" s="12"/>
      <c r="J26" s="12" t="str">
        <f aca="false">IF(OR(H26="",I26=""),"",H26*I26)</f>
        <v/>
      </c>
      <c r="K26" s="12"/>
    </row>
    <row r="27" customFormat="false" ht="16.5" hidden="false" customHeight="true" outlineLevel="0" collapsed="false">
      <c r="A27" s="10" t="n">
        <v>9</v>
      </c>
      <c r="B27" s="11"/>
      <c r="C27" s="11"/>
      <c r="D27" s="11"/>
      <c r="E27" s="10"/>
      <c r="F27" s="10"/>
      <c r="G27" s="10"/>
      <c r="H27" s="10"/>
      <c r="I27" s="12"/>
      <c r="J27" s="12" t="str">
        <f aca="false">IF(OR(H27="",I27=""),"",H27*I27)</f>
        <v/>
      </c>
      <c r="K27" s="12"/>
    </row>
    <row r="28" customFormat="false" ht="16.5" hidden="false" customHeight="true" outlineLevel="0" collapsed="false">
      <c r="A28" s="10" t="n">
        <v>10</v>
      </c>
      <c r="B28" s="11"/>
      <c r="C28" s="11"/>
      <c r="D28" s="11"/>
      <c r="E28" s="10"/>
      <c r="F28" s="10"/>
      <c r="G28" s="10"/>
      <c r="H28" s="10"/>
      <c r="I28" s="12"/>
      <c r="J28" s="12" t="str">
        <f aca="false">IF(OR(H28="",I28=""),"",H28*I28)</f>
        <v/>
      </c>
      <c r="K28" s="12"/>
    </row>
    <row r="29" customFormat="false" ht="19.5" hidden="false" customHeight="true" outlineLevel="0" collapsed="false">
      <c r="A29" s="13" t="s">
        <v>35</v>
      </c>
      <c r="B29" s="13"/>
      <c r="C29" s="13"/>
      <c r="D29" s="13"/>
      <c r="E29" s="13"/>
      <c r="F29" s="13"/>
      <c r="G29" s="14" t="s">
        <v>36</v>
      </c>
      <c r="H29" s="14"/>
      <c r="I29" s="14"/>
      <c r="J29" s="14"/>
      <c r="K29" s="15" t="n">
        <f aca="false">SUM(J19:J28)</f>
        <v>0</v>
      </c>
    </row>
    <row r="30" customFormat="false" ht="19.5" hidden="false" customHeight="true" outlineLevel="0" collapsed="false">
      <c r="A30" s="16"/>
      <c r="B30" s="16"/>
      <c r="C30" s="16"/>
      <c r="D30" s="16"/>
      <c r="E30" s="16"/>
      <c r="F30" s="16"/>
      <c r="G30" s="17" t="s">
        <v>37</v>
      </c>
      <c r="H30" s="17"/>
      <c r="I30" s="17"/>
      <c r="J30" s="17"/>
      <c r="K30" s="18"/>
    </row>
    <row r="31" customFormat="false" ht="18" hidden="false" customHeight="true" outlineLevel="0" collapsed="false">
      <c r="A31" s="16"/>
      <c r="B31" s="16"/>
      <c r="C31" s="16"/>
      <c r="D31" s="16"/>
      <c r="E31" s="16"/>
      <c r="F31" s="16"/>
      <c r="G31" s="14" t="s">
        <v>38</v>
      </c>
      <c r="H31" s="14"/>
      <c r="I31" s="14"/>
      <c r="J31" s="14"/>
      <c r="K31" s="15" t="n">
        <f aca="false">K29+K30</f>
        <v>0</v>
      </c>
    </row>
    <row r="32" customFormat="false" ht="18" hidden="false" customHeight="true" outlineLevel="0" collapsed="false">
      <c r="A32" s="16"/>
      <c r="B32" s="16"/>
      <c r="C32" s="16"/>
      <c r="D32" s="16"/>
      <c r="E32" s="16"/>
      <c r="F32" s="16"/>
      <c r="G32" s="19" t="s">
        <v>39</v>
      </c>
      <c r="H32" s="19"/>
      <c r="I32" s="19"/>
      <c r="J32" s="20" t="s">
        <v>40</v>
      </c>
      <c r="K32" s="19" t="s">
        <v>34</v>
      </c>
    </row>
    <row r="33" customFormat="false" ht="18" hidden="false" customHeight="true" outlineLevel="0" collapsed="false">
      <c r="A33" s="16"/>
      <c r="B33" s="16"/>
      <c r="C33" s="16"/>
      <c r="D33" s="16"/>
      <c r="E33" s="16"/>
      <c r="F33" s="16"/>
      <c r="G33" s="21" t="s">
        <v>41</v>
      </c>
      <c r="H33" s="21"/>
      <c r="I33" s="21"/>
      <c r="J33" s="21" t="s">
        <v>42</v>
      </c>
      <c r="K33" s="22" t="n">
        <f aca="false">IF(J32="CGST + SGST",K31*9%,K31*9%)</f>
        <v>0</v>
      </c>
    </row>
    <row r="34" customFormat="false" ht="18" hidden="false" customHeight="true" outlineLevel="0" collapsed="false">
      <c r="A34" s="16"/>
      <c r="B34" s="16"/>
      <c r="C34" s="16"/>
      <c r="D34" s="16"/>
      <c r="E34" s="16"/>
      <c r="F34" s="16"/>
      <c r="G34" s="21" t="s">
        <v>43</v>
      </c>
      <c r="H34" s="21"/>
      <c r="I34" s="21"/>
      <c r="J34" s="21" t="s">
        <v>42</v>
      </c>
      <c r="K34" s="22" t="n">
        <f aca="false">IF(J32="CGST + SGST",K31*9%,0)</f>
        <v>0</v>
      </c>
    </row>
    <row r="35" customFormat="false" ht="18" hidden="false" customHeight="true" outlineLevel="0" collapsed="false">
      <c r="A35" s="16"/>
      <c r="B35" s="16"/>
      <c r="C35" s="16"/>
      <c r="D35" s="16"/>
      <c r="E35" s="16"/>
      <c r="F35" s="16"/>
      <c r="G35" s="21" t="s">
        <v>44</v>
      </c>
      <c r="H35" s="21"/>
      <c r="I35" s="21"/>
      <c r="J35" s="21" t="s">
        <v>42</v>
      </c>
      <c r="K35" s="22" t="n">
        <f aca="false">IF(J32="CGST + IGST",K31*9%,0)</f>
        <v>0</v>
      </c>
    </row>
    <row r="36" customFormat="false" ht="18" hidden="false" customHeight="true" outlineLevel="0" collapsed="false">
      <c r="A36" s="16"/>
      <c r="B36" s="16"/>
      <c r="C36" s="16"/>
      <c r="D36" s="16"/>
      <c r="E36" s="16"/>
      <c r="F36" s="16"/>
      <c r="G36" s="23" t="s">
        <v>45</v>
      </c>
      <c r="H36" s="23"/>
      <c r="I36" s="23"/>
      <c r="J36" s="23"/>
      <c r="K36" s="24" t="n">
        <f aca="false">SUM(K33:K35)</f>
        <v>0</v>
      </c>
    </row>
    <row r="37" customFormat="false" ht="18" hidden="false" customHeight="true" outlineLevel="0" collapsed="false">
      <c r="A37" s="16"/>
      <c r="B37" s="16"/>
      <c r="C37" s="16"/>
      <c r="D37" s="16"/>
      <c r="E37" s="16"/>
      <c r="F37" s="16"/>
      <c r="G37" s="21" t="s">
        <v>46</v>
      </c>
      <c r="H37" s="21"/>
      <c r="I37" s="21"/>
      <c r="J37" s="21"/>
      <c r="K37" s="22"/>
    </row>
    <row r="38" customFormat="false" ht="21.75" hidden="false" customHeight="true" outlineLevel="0" collapsed="false">
      <c r="A38" s="25" t="str">
        <f aca="false">IF(K38="","","Amount in Words: "&amp;IF(K38=0,"Rupees Zero Only","Rupees "&amp;TRIM(T2&amp;" "&amp;U2&amp;" "&amp;V2&amp;" "&amp;W2&amp;" "&amp;X2&amp;" "&amp;Y2)&amp;" Only"))</f>
        <v>Amount in Words: Rupees Zero Only</v>
      </c>
      <c r="B38" s="25"/>
      <c r="C38" s="25"/>
      <c r="D38" s="25"/>
      <c r="E38" s="25"/>
      <c r="F38" s="25"/>
      <c r="G38" s="26" t="s">
        <v>47</v>
      </c>
      <c r="H38" s="26"/>
      <c r="I38" s="26"/>
      <c r="J38" s="26"/>
      <c r="K38" s="27" t="n">
        <f aca="false">K31+K36+K37</f>
        <v>0</v>
      </c>
    </row>
    <row r="39" customFormat="false" ht="16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customFormat="false" ht="16.5" hidden="false" customHeight="true" outlineLevel="0" collapsed="false">
      <c r="A40" s="28" t="s">
        <v>48</v>
      </c>
      <c r="B40" s="28"/>
      <c r="C40" s="28"/>
      <c r="D40" s="28"/>
      <c r="E40" s="28"/>
      <c r="F40" s="28"/>
      <c r="G40" s="29" t="s">
        <v>49</v>
      </c>
      <c r="H40" s="29"/>
      <c r="I40" s="29"/>
      <c r="J40" s="29"/>
      <c r="K40" s="29"/>
    </row>
    <row r="41" customFormat="false" ht="16.5" hidden="false" customHeight="true" outlineLevel="0" collapsed="false">
      <c r="A41" s="28"/>
      <c r="B41" s="28"/>
      <c r="C41" s="28"/>
      <c r="D41" s="28"/>
      <c r="E41" s="28"/>
      <c r="F41" s="28"/>
      <c r="G41" s="29"/>
      <c r="H41" s="29"/>
      <c r="I41" s="29"/>
      <c r="J41" s="29"/>
      <c r="K41" s="29"/>
    </row>
    <row r="42" customFormat="false" ht="16.5" hidden="false" customHeight="true" outlineLevel="0" collapsed="false">
      <c r="A42" s="28"/>
      <c r="B42" s="28"/>
      <c r="C42" s="28"/>
      <c r="D42" s="28"/>
      <c r="E42" s="28"/>
      <c r="F42" s="28"/>
      <c r="G42" s="29"/>
      <c r="H42" s="29"/>
      <c r="I42" s="29"/>
      <c r="J42" s="29"/>
      <c r="K42" s="29"/>
    </row>
    <row r="43" customFormat="false" ht="16.5" hidden="false" customHeight="true" outlineLevel="0" collapsed="false">
      <c r="A43" s="28"/>
      <c r="B43" s="28"/>
      <c r="C43" s="28"/>
      <c r="D43" s="28"/>
      <c r="E43" s="28"/>
      <c r="F43" s="28"/>
      <c r="G43" s="29"/>
      <c r="H43" s="29"/>
      <c r="I43" s="29"/>
      <c r="J43" s="29"/>
      <c r="K43" s="29"/>
    </row>
    <row r="44" customFormat="false" ht="16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customFormat="false" ht="19.5" hidden="false" customHeight="true" outlineLevel="0" collapsed="false">
      <c r="A45" s="30" t="s">
        <v>50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</row>
    <row r="46" customFormat="false" ht="16.5" hidden="false" customHeight="true" outlineLevel="0" collapsed="false">
      <c r="A46" s="31" t="s">
        <v>51</v>
      </c>
      <c r="B46" s="32" t="s">
        <v>52</v>
      </c>
      <c r="C46" s="33" t="s">
        <v>53</v>
      </c>
      <c r="D46" s="33"/>
      <c r="E46" s="33"/>
      <c r="F46" s="33"/>
      <c r="G46" s="33"/>
      <c r="H46" s="33"/>
      <c r="I46" s="33"/>
      <c r="J46" s="33"/>
      <c r="K46" s="33"/>
    </row>
    <row r="47" customFormat="false" ht="16.5" hidden="false" customHeight="true" outlineLevel="0" collapsed="false">
      <c r="A47" s="31" t="s">
        <v>54</v>
      </c>
      <c r="B47" s="32" t="s">
        <v>55</v>
      </c>
      <c r="C47" s="33" t="s">
        <v>56</v>
      </c>
      <c r="D47" s="33"/>
      <c r="E47" s="33"/>
      <c r="F47" s="33"/>
      <c r="G47" s="33"/>
      <c r="H47" s="33"/>
      <c r="I47" s="33"/>
      <c r="J47" s="33"/>
      <c r="K47" s="33"/>
    </row>
    <row r="48" customFormat="false" ht="16.5" hidden="false" customHeight="true" outlineLevel="0" collapsed="false">
      <c r="A48" s="31" t="s">
        <v>57</v>
      </c>
      <c r="B48" s="32" t="s">
        <v>58</v>
      </c>
      <c r="C48" s="33" t="s">
        <v>59</v>
      </c>
      <c r="D48" s="33"/>
      <c r="E48" s="33"/>
      <c r="F48" s="33"/>
      <c r="G48" s="33"/>
      <c r="H48" s="33"/>
      <c r="I48" s="33"/>
      <c r="J48" s="33"/>
      <c r="K48" s="33"/>
    </row>
    <row r="49" customFormat="false" ht="16.5" hidden="false" customHeight="true" outlineLevel="0" collapsed="false">
      <c r="A49" s="31" t="s">
        <v>60</v>
      </c>
      <c r="B49" s="32" t="s">
        <v>61</v>
      </c>
      <c r="C49" s="33" t="s">
        <v>62</v>
      </c>
      <c r="D49" s="33"/>
      <c r="E49" s="33"/>
      <c r="F49" s="33"/>
      <c r="G49" s="33"/>
      <c r="H49" s="33"/>
      <c r="I49" s="33"/>
      <c r="J49" s="33"/>
      <c r="K49" s="33"/>
    </row>
    <row r="50" customFormat="false" ht="16.5" hidden="false" customHeight="true" outlineLevel="0" collapsed="false">
      <c r="A50" s="31" t="s">
        <v>63</v>
      </c>
      <c r="B50" s="32" t="s">
        <v>64</v>
      </c>
      <c r="C50" s="33" t="s">
        <v>65</v>
      </c>
      <c r="D50" s="33"/>
      <c r="E50" s="33"/>
      <c r="F50" s="33"/>
      <c r="G50" s="33"/>
      <c r="H50" s="33"/>
      <c r="I50" s="33"/>
      <c r="J50" s="33"/>
      <c r="K50" s="33"/>
    </row>
    <row r="51" customFormat="false" ht="16.5" hidden="false" customHeight="true" outlineLevel="0" collapsed="false">
      <c r="A51" s="31" t="s">
        <v>66</v>
      </c>
      <c r="B51" s="32" t="s">
        <v>67</v>
      </c>
      <c r="C51" s="33" t="s">
        <v>68</v>
      </c>
      <c r="D51" s="33"/>
      <c r="E51" s="33"/>
      <c r="F51" s="33"/>
      <c r="G51" s="33"/>
      <c r="H51" s="33"/>
      <c r="I51" s="33"/>
      <c r="J51" s="33"/>
      <c r="K51" s="33"/>
    </row>
    <row r="52" customFormat="false" ht="16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customFormat="false" ht="15.75" hidden="false" customHeight="true" outlineLevel="0" collapsed="false">
      <c r="A53" s="34" t="s">
        <v>69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</row>
  </sheetData>
  <mergeCells count="73">
    <mergeCell ref="D1:K1"/>
    <mergeCell ref="C3:I3"/>
    <mergeCell ref="A5:B5"/>
    <mergeCell ref="C5:E5"/>
    <mergeCell ref="F5:K11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3:E16"/>
    <mergeCell ref="F13:K16"/>
    <mergeCell ref="B18:D18"/>
    <mergeCell ref="E18:F18"/>
    <mergeCell ref="J18:K18"/>
    <mergeCell ref="B19:D19"/>
    <mergeCell ref="E19:F19"/>
    <mergeCell ref="J19:K19"/>
    <mergeCell ref="B20:D20"/>
    <mergeCell ref="E20:F20"/>
    <mergeCell ref="J20:K20"/>
    <mergeCell ref="B21:D21"/>
    <mergeCell ref="E21:F21"/>
    <mergeCell ref="J21:K21"/>
    <mergeCell ref="B22:D22"/>
    <mergeCell ref="E22:F22"/>
    <mergeCell ref="J22:K22"/>
    <mergeCell ref="B23:D23"/>
    <mergeCell ref="E23:F23"/>
    <mergeCell ref="J23:K23"/>
    <mergeCell ref="B24:D24"/>
    <mergeCell ref="E24:F24"/>
    <mergeCell ref="J24:K24"/>
    <mergeCell ref="B25:D25"/>
    <mergeCell ref="E25:F25"/>
    <mergeCell ref="J25:K25"/>
    <mergeCell ref="B26:D26"/>
    <mergeCell ref="E26:F26"/>
    <mergeCell ref="J26:K26"/>
    <mergeCell ref="B27:D27"/>
    <mergeCell ref="E27:F27"/>
    <mergeCell ref="J27:K27"/>
    <mergeCell ref="B28:D28"/>
    <mergeCell ref="E28:F28"/>
    <mergeCell ref="J28:K28"/>
    <mergeCell ref="A29:F29"/>
    <mergeCell ref="G29:J29"/>
    <mergeCell ref="A30:F37"/>
    <mergeCell ref="G30:J30"/>
    <mergeCell ref="G31:J31"/>
    <mergeCell ref="G32:I32"/>
    <mergeCell ref="G33:I33"/>
    <mergeCell ref="G34:I34"/>
    <mergeCell ref="G35:I35"/>
    <mergeCell ref="G36:J36"/>
    <mergeCell ref="G37:J37"/>
    <mergeCell ref="A38:F38"/>
    <mergeCell ref="G38:J38"/>
    <mergeCell ref="A40:F43"/>
    <mergeCell ref="G40:K43"/>
    <mergeCell ref="A45:K45"/>
    <mergeCell ref="C46:K46"/>
    <mergeCell ref="C47:K47"/>
    <mergeCell ref="C48:K48"/>
    <mergeCell ref="C49:K49"/>
    <mergeCell ref="C50:K50"/>
    <mergeCell ref="C51:K51"/>
    <mergeCell ref="A53:K53"/>
  </mergeCells>
  <dataValidations count="1">
    <dataValidation allowBlank="false" errorStyle="stop" operator="between" showDropDown="false" showErrorMessage="false" showInputMessage="false" sqref="J32" type="list">
      <formula1>"CGST + SGST,CGST + IGST"</formula1>
      <formula2>0</formula2>
    </dataValidation>
  </dataValidations>
  <printOptions headings="false" gridLines="false" gridLinesSet="true" horizontalCentered="true" verticalCentered="true"/>
  <pageMargins left="0.0201388888888889" right="0.0201388888888889" top="0.0201388888888889" bottom="0.020138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5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44.16"/>
    <col collapsed="false" customWidth="true" hidden="false" outlineLevel="0" max="3" min="3" style="0" width="22.16"/>
    <col collapsed="false" customWidth="true" hidden="false" outlineLevel="0" max="4" min="4" style="0" width="19"/>
    <col collapsed="false" customWidth="true" hidden="false" outlineLevel="0" max="5" min="5" style="0" width="14.16"/>
    <col collapsed="false" customWidth="true" hidden="false" outlineLevel="0" max="6" min="6" style="0" width="19"/>
    <col collapsed="false" customWidth="true" hidden="false" outlineLevel="0" max="7" min="7" style="0" width="22.16"/>
    <col collapsed="false" customWidth="true" hidden="false" outlineLevel="0" max="11" min="8" style="0" width="20.51"/>
    <col collapsed="false" customWidth="true" hidden="true" outlineLevel="0" max="18" min="13" style="0" width="13"/>
    <col collapsed="false" customWidth="true" hidden="true" outlineLevel="0" max="25" min="20" style="0" width="13"/>
  </cols>
  <sheetData>
    <row r="1" customFormat="false" ht="57.75" hidden="false" customHeight="true" outlineLevel="0" collapsed="false">
      <c r="A1" s="1"/>
      <c r="B1" s="1"/>
      <c r="C1" s="1"/>
      <c r="D1" s="35" t="s">
        <v>0</v>
      </c>
      <c r="E1" s="35"/>
      <c r="F1" s="35"/>
      <c r="G1" s="35"/>
      <c r="H1" s="35"/>
      <c r="I1" s="35"/>
      <c r="J1" s="35"/>
      <c r="K1" s="35"/>
      <c r="M1" s="0" t="s">
        <v>1</v>
      </c>
      <c r="N1" s="0" t="s">
        <v>2</v>
      </c>
      <c r="O1" s="0" t="s">
        <v>3</v>
      </c>
      <c r="P1" s="0" t="s">
        <v>4</v>
      </c>
      <c r="Q1" s="0" t="s">
        <v>5</v>
      </c>
      <c r="R1" s="0" t="s">
        <v>6</v>
      </c>
      <c r="T1" s="0" t="s">
        <v>7</v>
      </c>
      <c r="U1" s="0" t="s">
        <v>8</v>
      </c>
      <c r="V1" s="0" t="s">
        <v>9</v>
      </c>
      <c r="W1" s="0" t="s">
        <v>10</v>
      </c>
      <c r="X1" s="0" t="s">
        <v>11</v>
      </c>
      <c r="Y1" s="0" t="s">
        <v>12</v>
      </c>
    </row>
    <row r="2" customFormat="false" ht="16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M2" s="0" t="n">
        <f aca="false">INT(K38/10000000)</f>
        <v>0</v>
      </c>
      <c r="N2" s="0" t="n">
        <f aca="false">MOD(INT(K38/100000),100)</f>
        <v>0</v>
      </c>
      <c r="O2" s="0" t="n">
        <f aca="false">MOD(INT(K38/1000),100)</f>
        <v>0</v>
      </c>
      <c r="P2" s="0" t="n">
        <f aca="false">MOD(INT(K38/100),10)</f>
        <v>0</v>
      </c>
      <c r="Q2" s="0" t="n">
        <f aca="false">MOD(K38,100)</f>
        <v>0</v>
      </c>
      <c r="R2" s="0" t="n">
        <f aca="false">ROUND((K38-INT(K38))*100,0)</f>
        <v>0</v>
      </c>
      <c r="T2" s="0" t="str">
        <f aca="false">IF(M2=0,"",VLOOKUP(M2,AmountWords!$A$1:$B$100,2,FALSE())&amp;" Crore")</f>
        <v/>
      </c>
      <c r="U2" s="0" t="str">
        <f aca="false">IF(N2=0,"",VLOOKUP(N2,AmountWords!$A$1:$B$100,2,FALSE())&amp;" Lakh")</f>
        <v/>
      </c>
      <c r="V2" s="0" t="str">
        <f aca="false">IF(O2=0,"",VLOOKUP(O2,AmountWords!$A$1:$B$100,2,FALSE())&amp;" Thousand")</f>
        <v/>
      </c>
      <c r="W2" s="0" t="str">
        <f aca="false">IF(P2=0,"",VLOOKUP(P2,AmountWords!$A$1:$B$100,2,FALSE())&amp;" Hundred")</f>
        <v/>
      </c>
      <c r="X2" s="0" t="str">
        <f aca="false">IF(Q2=0,"",VLOOKUP(Q2,AmountWords!$A$1:$B$100,2,FALSE()))</f>
        <v/>
      </c>
      <c r="Y2" s="0" t="str">
        <f aca="false">IF(R2=0,"","and "&amp;VLOOKUP(R2,AmountWords!$A$1:$B$100,2,FALSE())&amp;" Paise")</f>
        <v/>
      </c>
    </row>
    <row r="3" customFormat="false" ht="19.5" hidden="false" customHeight="true" outlineLevel="0" collapsed="false">
      <c r="A3" s="1"/>
      <c r="B3" s="1"/>
      <c r="C3" s="3" t="s">
        <v>70</v>
      </c>
      <c r="D3" s="3"/>
      <c r="E3" s="3"/>
      <c r="F3" s="3"/>
      <c r="G3" s="3"/>
      <c r="H3" s="3"/>
      <c r="I3" s="3"/>
      <c r="J3" s="1"/>
      <c r="K3" s="1"/>
    </row>
    <row r="4" customFormat="false" ht="16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16.5" hidden="false" customHeight="true" outlineLevel="0" collapsed="false">
      <c r="A5" s="4" t="s">
        <v>71</v>
      </c>
      <c r="B5" s="4"/>
      <c r="C5" s="5" t="s">
        <v>72</v>
      </c>
      <c r="D5" s="5"/>
      <c r="E5" s="5"/>
      <c r="F5" s="6" t="s">
        <v>73</v>
      </c>
      <c r="G5" s="6"/>
      <c r="H5" s="6"/>
      <c r="I5" s="6"/>
      <c r="J5" s="6"/>
      <c r="K5" s="6"/>
    </row>
    <row r="6" customFormat="false" ht="16.5" hidden="false" customHeight="true" outlineLevel="0" collapsed="false">
      <c r="A6" s="4" t="s">
        <v>74</v>
      </c>
      <c r="B6" s="4"/>
      <c r="C6" s="5" t="s">
        <v>18</v>
      </c>
      <c r="D6" s="5"/>
      <c r="E6" s="5"/>
      <c r="F6" s="6"/>
      <c r="G6" s="6"/>
      <c r="H6" s="6"/>
      <c r="I6" s="6"/>
      <c r="J6" s="6"/>
      <c r="K6" s="6"/>
    </row>
    <row r="7" customFormat="false" ht="16.5" hidden="false" customHeight="true" outlineLevel="0" collapsed="false">
      <c r="A7" s="4" t="s">
        <v>75</v>
      </c>
      <c r="B7" s="4"/>
      <c r="C7" s="5" t="s">
        <v>18</v>
      </c>
      <c r="D7" s="5"/>
      <c r="E7" s="5"/>
      <c r="F7" s="6"/>
      <c r="G7" s="6"/>
      <c r="H7" s="6"/>
      <c r="I7" s="6"/>
      <c r="J7" s="6"/>
      <c r="K7" s="6"/>
    </row>
    <row r="8" customFormat="false" ht="16.5" hidden="false" customHeight="true" outlineLevel="0" collapsed="false">
      <c r="A8" s="4" t="s">
        <v>20</v>
      </c>
      <c r="B8" s="4"/>
      <c r="C8" s="5" t="s">
        <v>21</v>
      </c>
      <c r="D8" s="5"/>
      <c r="E8" s="5"/>
      <c r="F8" s="6"/>
      <c r="G8" s="6"/>
      <c r="H8" s="6"/>
      <c r="I8" s="6"/>
      <c r="J8" s="6"/>
      <c r="K8" s="6"/>
    </row>
    <row r="9" customFormat="false" ht="16.5" hidden="false" customHeight="true" outlineLevel="0" collapsed="false">
      <c r="A9" s="4" t="s">
        <v>22</v>
      </c>
      <c r="B9" s="4"/>
      <c r="C9" s="5" t="s">
        <v>23</v>
      </c>
      <c r="D9" s="5"/>
      <c r="E9" s="5"/>
      <c r="F9" s="6"/>
      <c r="G9" s="6"/>
      <c r="H9" s="6"/>
      <c r="I9" s="6"/>
      <c r="J9" s="6"/>
      <c r="K9" s="6"/>
    </row>
    <row r="10" customFormat="false" ht="16.5" hidden="false" customHeight="true" outlineLevel="0" collapsed="false">
      <c r="A10" s="4" t="s">
        <v>24</v>
      </c>
      <c r="B10" s="4"/>
      <c r="C10" s="5" t="s">
        <v>25</v>
      </c>
      <c r="D10" s="5"/>
      <c r="E10" s="5"/>
      <c r="F10" s="6"/>
      <c r="G10" s="6"/>
      <c r="H10" s="6"/>
      <c r="I10" s="6"/>
      <c r="J10" s="6"/>
      <c r="K10" s="6"/>
    </row>
    <row r="11" customFormat="false" ht="16.5" hidden="false" customHeight="true" outlineLevel="0" collapsed="false">
      <c r="A11" s="7"/>
      <c r="B11" s="7"/>
      <c r="C11" s="7"/>
      <c r="D11" s="7"/>
      <c r="E11" s="7"/>
      <c r="F11" s="6"/>
      <c r="G11" s="6"/>
      <c r="H11" s="6"/>
      <c r="I11" s="6"/>
      <c r="J11" s="6"/>
      <c r="K11" s="6"/>
    </row>
    <row r="12" customFormat="false" ht="16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customFormat="false" ht="16.5" hidden="false" customHeight="true" outlineLevel="0" collapsed="false">
      <c r="A13" s="8" t="s">
        <v>26</v>
      </c>
      <c r="B13" s="8"/>
      <c r="C13" s="8"/>
      <c r="D13" s="8"/>
      <c r="E13" s="8"/>
      <c r="F13" s="8" t="s">
        <v>27</v>
      </c>
      <c r="G13" s="8"/>
      <c r="H13" s="8"/>
      <c r="I13" s="8"/>
      <c r="J13" s="8"/>
      <c r="K13" s="8"/>
    </row>
    <row r="14" customFormat="false" ht="16.5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customFormat="false" ht="16.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customFormat="false" ht="16.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customFormat="false" ht="16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customFormat="false" ht="16.5" hidden="false" customHeight="true" outlineLevel="0" collapsed="false">
      <c r="A18" s="9" t="s">
        <v>28</v>
      </c>
      <c r="B18" s="9" t="s">
        <v>29</v>
      </c>
      <c r="C18" s="9"/>
      <c r="D18" s="9"/>
      <c r="E18" s="9" t="s">
        <v>30</v>
      </c>
      <c r="F18" s="9"/>
      <c r="G18" s="9" t="s">
        <v>31</v>
      </c>
      <c r="H18" s="9" t="s">
        <v>32</v>
      </c>
      <c r="I18" s="9" t="s">
        <v>33</v>
      </c>
      <c r="J18" s="9" t="s">
        <v>34</v>
      </c>
      <c r="K18" s="9"/>
    </row>
    <row r="19" customFormat="false" ht="16.5" hidden="false" customHeight="true" outlineLevel="0" collapsed="false">
      <c r="A19" s="10" t="n">
        <v>1</v>
      </c>
      <c r="B19" s="11"/>
      <c r="C19" s="11"/>
      <c r="D19" s="11"/>
      <c r="E19" s="10"/>
      <c r="F19" s="10"/>
      <c r="G19" s="10"/>
      <c r="H19" s="10"/>
      <c r="I19" s="12"/>
      <c r="J19" s="12" t="str">
        <f aca="false">IF(OR(H19="",I19=""),"",H19*I19)</f>
        <v/>
      </c>
      <c r="K19" s="12"/>
    </row>
    <row r="20" customFormat="false" ht="16.5" hidden="false" customHeight="true" outlineLevel="0" collapsed="false">
      <c r="A20" s="10" t="n">
        <v>2</v>
      </c>
      <c r="B20" s="11"/>
      <c r="C20" s="11"/>
      <c r="D20" s="11"/>
      <c r="E20" s="10"/>
      <c r="F20" s="10"/>
      <c r="G20" s="10"/>
      <c r="H20" s="10"/>
      <c r="I20" s="12"/>
      <c r="J20" s="12" t="str">
        <f aca="false">IF(OR(H20="",I20=""),"",H20*I20)</f>
        <v/>
      </c>
      <c r="K20" s="12"/>
    </row>
    <row r="21" customFormat="false" ht="16.5" hidden="false" customHeight="true" outlineLevel="0" collapsed="false">
      <c r="A21" s="10" t="n">
        <v>3</v>
      </c>
      <c r="B21" s="11"/>
      <c r="C21" s="11"/>
      <c r="D21" s="11"/>
      <c r="E21" s="10"/>
      <c r="F21" s="10"/>
      <c r="G21" s="10"/>
      <c r="H21" s="10"/>
      <c r="I21" s="12"/>
      <c r="J21" s="12" t="str">
        <f aca="false">IF(OR(H21="",I21=""),"",H21*I21)</f>
        <v/>
      </c>
      <c r="K21" s="12"/>
    </row>
    <row r="22" customFormat="false" ht="16.5" hidden="false" customHeight="true" outlineLevel="0" collapsed="false">
      <c r="A22" s="10" t="n">
        <v>4</v>
      </c>
      <c r="B22" s="11"/>
      <c r="C22" s="11"/>
      <c r="D22" s="11"/>
      <c r="E22" s="10"/>
      <c r="F22" s="10"/>
      <c r="G22" s="10"/>
      <c r="H22" s="10"/>
      <c r="I22" s="12"/>
      <c r="J22" s="12" t="str">
        <f aca="false">IF(OR(H22="",I22=""),"",H22*I22)</f>
        <v/>
      </c>
      <c r="K22" s="12"/>
    </row>
    <row r="23" customFormat="false" ht="16.5" hidden="false" customHeight="true" outlineLevel="0" collapsed="false">
      <c r="A23" s="10" t="n">
        <v>5</v>
      </c>
      <c r="B23" s="11"/>
      <c r="C23" s="11"/>
      <c r="D23" s="11"/>
      <c r="E23" s="10"/>
      <c r="F23" s="10"/>
      <c r="G23" s="10"/>
      <c r="H23" s="10"/>
      <c r="I23" s="12"/>
      <c r="J23" s="12" t="str">
        <f aca="false">IF(OR(H23="",I23=""),"",H23*I23)</f>
        <v/>
      </c>
      <c r="K23" s="12"/>
    </row>
    <row r="24" customFormat="false" ht="16.5" hidden="false" customHeight="true" outlineLevel="0" collapsed="false">
      <c r="A24" s="10" t="n">
        <v>6</v>
      </c>
      <c r="B24" s="11"/>
      <c r="C24" s="11"/>
      <c r="D24" s="11"/>
      <c r="E24" s="10"/>
      <c r="F24" s="10"/>
      <c r="G24" s="10"/>
      <c r="H24" s="10"/>
      <c r="I24" s="12"/>
      <c r="J24" s="12" t="str">
        <f aca="false">IF(OR(H24="",I24=""),"",H24*I24)</f>
        <v/>
      </c>
      <c r="K24" s="12"/>
    </row>
    <row r="25" customFormat="false" ht="16.5" hidden="false" customHeight="true" outlineLevel="0" collapsed="false">
      <c r="A25" s="10" t="n">
        <v>7</v>
      </c>
      <c r="B25" s="11"/>
      <c r="C25" s="11"/>
      <c r="D25" s="11"/>
      <c r="E25" s="10"/>
      <c r="F25" s="10"/>
      <c r="G25" s="10"/>
      <c r="H25" s="10"/>
      <c r="I25" s="12"/>
      <c r="J25" s="12" t="str">
        <f aca="false">IF(OR(H25="",I25=""),"",H25*I25)</f>
        <v/>
      </c>
      <c r="K25" s="12"/>
    </row>
    <row r="26" customFormat="false" ht="16.5" hidden="false" customHeight="true" outlineLevel="0" collapsed="false">
      <c r="A26" s="10" t="n">
        <v>8</v>
      </c>
      <c r="B26" s="11"/>
      <c r="C26" s="11"/>
      <c r="D26" s="11"/>
      <c r="E26" s="10"/>
      <c r="F26" s="10"/>
      <c r="G26" s="10"/>
      <c r="H26" s="10"/>
      <c r="I26" s="12"/>
      <c r="J26" s="12" t="str">
        <f aca="false">IF(OR(H26="",I26=""),"",H26*I26)</f>
        <v/>
      </c>
      <c r="K26" s="12"/>
    </row>
    <row r="27" customFormat="false" ht="16.5" hidden="false" customHeight="true" outlineLevel="0" collapsed="false">
      <c r="A27" s="10" t="n">
        <v>9</v>
      </c>
      <c r="B27" s="11"/>
      <c r="C27" s="11"/>
      <c r="D27" s="11"/>
      <c r="E27" s="10"/>
      <c r="F27" s="10"/>
      <c r="G27" s="10"/>
      <c r="H27" s="10"/>
      <c r="I27" s="12"/>
      <c r="J27" s="12" t="str">
        <f aca="false">IF(OR(H27="",I27=""),"",H27*I27)</f>
        <v/>
      </c>
      <c r="K27" s="12"/>
    </row>
    <row r="28" customFormat="false" ht="16.5" hidden="false" customHeight="true" outlineLevel="0" collapsed="false">
      <c r="A28" s="10" t="n">
        <v>10</v>
      </c>
      <c r="B28" s="11"/>
      <c r="C28" s="11"/>
      <c r="D28" s="11"/>
      <c r="E28" s="10"/>
      <c r="F28" s="10"/>
      <c r="G28" s="10"/>
      <c r="H28" s="10"/>
      <c r="I28" s="12"/>
      <c r="J28" s="12" t="str">
        <f aca="false">IF(OR(H28="",I28=""),"",H28*I28)</f>
        <v/>
      </c>
      <c r="K28" s="12"/>
    </row>
    <row r="29" customFormat="false" ht="19.5" hidden="false" customHeight="true" outlineLevel="0" collapsed="false">
      <c r="A29" s="13" t="s">
        <v>35</v>
      </c>
      <c r="B29" s="13"/>
      <c r="C29" s="13"/>
      <c r="D29" s="13"/>
      <c r="E29" s="13"/>
      <c r="F29" s="13"/>
      <c r="G29" s="14" t="s">
        <v>36</v>
      </c>
      <c r="H29" s="14"/>
      <c r="I29" s="14"/>
      <c r="J29" s="14"/>
      <c r="K29" s="15" t="n">
        <f aca="false">SUM(J19:J28)</f>
        <v>0</v>
      </c>
    </row>
    <row r="30" customFormat="false" ht="19.5" hidden="false" customHeight="true" outlineLevel="0" collapsed="false">
      <c r="A30" s="16"/>
      <c r="B30" s="16"/>
      <c r="C30" s="16"/>
      <c r="D30" s="16"/>
      <c r="E30" s="16"/>
      <c r="F30" s="16"/>
      <c r="G30" s="17" t="s">
        <v>37</v>
      </c>
      <c r="H30" s="17"/>
      <c r="I30" s="17"/>
      <c r="J30" s="17"/>
      <c r="K30" s="18"/>
    </row>
    <row r="31" customFormat="false" ht="18" hidden="false" customHeight="true" outlineLevel="0" collapsed="false">
      <c r="A31" s="16"/>
      <c r="B31" s="16"/>
      <c r="C31" s="16"/>
      <c r="D31" s="16"/>
      <c r="E31" s="16"/>
      <c r="F31" s="16"/>
      <c r="G31" s="14" t="s">
        <v>38</v>
      </c>
      <c r="H31" s="14"/>
      <c r="I31" s="14"/>
      <c r="J31" s="14"/>
      <c r="K31" s="15" t="n">
        <f aca="false">K29+K30</f>
        <v>0</v>
      </c>
    </row>
    <row r="32" customFormat="false" ht="18" hidden="false" customHeight="true" outlineLevel="0" collapsed="false">
      <c r="A32" s="16"/>
      <c r="B32" s="16"/>
      <c r="C32" s="16"/>
      <c r="D32" s="16"/>
      <c r="E32" s="16"/>
      <c r="F32" s="16"/>
      <c r="G32" s="19" t="s">
        <v>39</v>
      </c>
      <c r="H32" s="19"/>
      <c r="I32" s="19"/>
      <c r="J32" s="20" t="s">
        <v>40</v>
      </c>
      <c r="K32" s="19" t="s">
        <v>34</v>
      </c>
    </row>
    <row r="33" customFormat="false" ht="18" hidden="false" customHeight="true" outlineLevel="0" collapsed="false">
      <c r="A33" s="16"/>
      <c r="B33" s="16"/>
      <c r="C33" s="16"/>
      <c r="D33" s="16"/>
      <c r="E33" s="16"/>
      <c r="F33" s="16"/>
      <c r="G33" s="21" t="s">
        <v>41</v>
      </c>
      <c r="H33" s="21"/>
      <c r="I33" s="21"/>
      <c r="J33" s="21" t="s">
        <v>42</v>
      </c>
      <c r="K33" s="22" t="n">
        <f aca="false">IF(J32="CGST + SGST",K31*9%,K31*9%)</f>
        <v>0</v>
      </c>
    </row>
    <row r="34" customFormat="false" ht="18" hidden="false" customHeight="true" outlineLevel="0" collapsed="false">
      <c r="A34" s="16"/>
      <c r="B34" s="16"/>
      <c r="C34" s="16"/>
      <c r="D34" s="16"/>
      <c r="E34" s="16"/>
      <c r="F34" s="16"/>
      <c r="G34" s="21" t="s">
        <v>43</v>
      </c>
      <c r="H34" s="21"/>
      <c r="I34" s="21"/>
      <c r="J34" s="21" t="s">
        <v>42</v>
      </c>
      <c r="K34" s="22" t="n">
        <f aca="false">IF(J32="CGST + SGST",K31*9%,0)</f>
        <v>0</v>
      </c>
    </row>
    <row r="35" customFormat="false" ht="18" hidden="false" customHeight="true" outlineLevel="0" collapsed="false">
      <c r="A35" s="16"/>
      <c r="B35" s="16"/>
      <c r="C35" s="16"/>
      <c r="D35" s="16"/>
      <c r="E35" s="16"/>
      <c r="F35" s="16"/>
      <c r="G35" s="21" t="s">
        <v>44</v>
      </c>
      <c r="H35" s="21"/>
      <c r="I35" s="21"/>
      <c r="J35" s="21" t="s">
        <v>42</v>
      </c>
      <c r="K35" s="22" t="n">
        <f aca="false">IF(J32="CGST + IGST",K31*9%,0)</f>
        <v>0</v>
      </c>
    </row>
    <row r="36" customFormat="false" ht="18" hidden="false" customHeight="true" outlineLevel="0" collapsed="false">
      <c r="A36" s="16"/>
      <c r="B36" s="16"/>
      <c r="C36" s="16"/>
      <c r="D36" s="16"/>
      <c r="E36" s="16"/>
      <c r="F36" s="16"/>
      <c r="G36" s="23" t="s">
        <v>45</v>
      </c>
      <c r="H36" s="23"/>
      <c r="I36" s="23"/>
      <c r="J36" s="23"/>
      <c r="K36" s="24" t="n">
        <f aca="false">SUM(K33:K35)</f>
        <v>0</v>
      </c>
    </row>
    <row r="37" customFormat="false" ht="18" hidden="false" customHeight="true" outlineLevel="0" collapsed="false">
      <c r="A37" s="16"/>
      <c r="B37" s="16"/>
      <c r="C37" s="16"/>
      <c r="D37" s="16"/>
      <c r="E37" s="16"/>
      <c r="F37" s="16"/>
      <c r="G37" s="21" t="s">
        <v>46</v>
      </c>
      <c r="H37" s="21"/>
      <c r="I37" s="21"/>
      <c r="J37" s="21"/>
      <c r="K37" s="22"/>
    </row>
    <row r="38" customFormat="false" ht="21.75" hidden="false" customHeight="true" outlineLevel="0" collapsed="false">
      <c r="A38" s="25" t="str">
        <f aca="false">IF(K38="","","Amount in Words: "&amp;IF(K38=0,"Rupees Zero Only","Rupees "&amp;TRIM(T2&amp;" "&amp;U2&amp;" "&amp;V2&amp;" "&amp;W2&amp;" "&amp;X2&amp;" "&amp;Y2)&amp;" Only"))</f>
        <v>Amount in Words: Rupees Zero Only</v>
      </c>
      <c r="B38" s="25"/>
      <c r="C38" s="25"/>
      <c r="D38" s="25"/>
      <c r="E38" s="25"/>
      <c r="F38" s="25"/>
      <c r="G38" s="26" t="s">
        <v>47</v>
      </c>
      <c r="H38" s="26"/>
      <c r="I38" s="26"/>
      <c r="J38" s="26"/>
      <c r="K38" s="27" t="n">
        <f aca="false">K31+K36+K37</f>
        <v>0</v>
      </c>
    </row>
    <row r="39" customFormat="false" ht="16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customFormat="false" ht="16.5" hidden="false" customHeight="true" outlineLevel="0" collapsed="false">
      <c r="A40" s="28" t="s">
        <v>48</v>
      </c>
      <c r="B40" s="28"/>
      <c r="C40" s="28"/>
      <c r="D40" s="28"/>
      <c r="E40" s="28"/>
      <c r="F40" s="28"/>
      <c r="G40" s="29" t="s">
        <v>49</v>
      </c>
      <c r="H40" s="29"/>
      <c r="I40" s="29"/>
      <c r="J40" s="29"/>
      <c r="K40" s="29"/>
    </row>
    <row r="41" customFormat="false" ht="16.5" hidden="false" customHeight="true" outlineLevel="0" collapsed="false">
      <c r="A41" s="28"/>
      <c r="B41" s="28"/>
      <c r="C41" s="28"/>
      <c r="D41" s="28"/>
      <c r="E41" s="28"/>
      <c r="F41" s="28"/>
      <c r="G41" s="29"/>
      <c r="H41" s="29"/>
      <c r="I41" s="29"/>
      <c r="J41" s="29"/>
      <c r="K41" s="29"/>
    </row>
    <row r="42" customFormat="false" ht="16.5" hidden="false" customHeight="true" outlineLevel="0" collapsed="false">
      <c r="A42" s="28"/>
      <c r="B42" s="28"/>
      <c r="C42" s="28"/>
      <c r="D42" s="28"/>
      <c r="E42" s="28"/>
      <c r="F42" s="28"/>
      <c r="G42" s="29"/>
      <c r="H42" s="29"/>
      <c r="I42" s="29"/>
      <c r="J42" s="29"/>
      <c r="K42" s="29"/>
    </row>
    <row r="43" customFormat="false" ht="16.5" hidden="false" customHeight="true" outlineLevel="0" collapsed="false">
      <c r="A43" s="28"/>
      <c r="B43" s="28"/>
      <c r="C43" s="28"/>
      <c r="D43" s="28"/>
      <c r="E43" s="28"/>
      <c r="F43" s="28"/>
      <c r="G43" s="29"/>
      <c r="H43" s="29"/>
      <c r="I43" s="29"/>
      <c r="J43" s="29"/>
      <c r="K43" s="29"/>
    </row>
    <row r="44" customFormat="false" ht="16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customFormat="false" ht="19.5" hidden="false" customHeight="true" outlineLevel="0" collapsed="false">
      <c r="A45" s="30" t="s">
        <v>50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</row>
    <row r="46" customFormat="false" ht="16.5" hidden="false" customHeight="true" outlineLevel="0" collapsed="false">
      <c r="A46" s="31" t="s">
        <v>51</v>
      </c>
      <c r="B46" s="32" t="s">
        <v>52</v>
      </c>
      <c r="C46" s="33" t="s">
        <v>53</v>
      </c>
      <c r="D46" s="33"/>
      <c r="E46" s="33"/>
      <c r="F46" s="33"/>
      <c r="G46" s="33"/>
      <c r="H46" s="33"/>
      <c r="I46" s="33"/>
      <c r="J46" s="33"/>
      <c r="K46" s="33"/>
    </row>
    <row r="47" customFormat="false" ht="16.5" hidden="false" customHeight="true" outlineLevel="0" collapsed="false">
      <c r="A47" s="31" t="s">
        <v>54</v>
      </c>
      <c r="B47" s="32" t="s">
        <v>55</v>
      </c>
      <c r="C47" s="33" t="s">
        <v>56</v>
      </c>
      <c r="D47" s="33"/>
      <c r="E47" s="33"/>
      <c r="F47" s="33"/>
      <c r="G47" s="33"/>
      <c r="H47" s="33"/>
      <c r="I47" s="33"/>
      <c r="J47" s="33"/>
      <c r="K47" s="33"/>
    </row>
    <row r="48" customFormat="false" ht="16.5" hidden="false" customHeight="true" outlineLevel="0" collapsed="false">
      <c r="A48" s="31" t="s">
        <v>57</v>
      </c>
      <c r="B48" s="32" t="s">
        <v>58</v>
      </c>
      <c r="C48" s="33" t="s">
        <v>59</v>
      </c>
      <c r="D48" s="33"/>
      <c r="E48" s="33"/>
      <c r="F48" s="33"/>
      <c r="G48" s="33"/>
      <c r="H48" s="33"/>
      <c r="I48" s="33"/>
      <c r="J48" s="33"/>
      <c r="K48" s="33"/>
    </row>
    <row r="49" customFormat="false" ht="16.5" hidden="false" customHeight="true" outlineLevel="0" collapsed="false">
      <c r="A49" s="31" t="s">
        <v>60</v>
      </c>
      <c r="B49" s="32" t="s">
        <v>61</v>
      </c>
      <c r="C49" s="33" t="s">
        <v>62</v>
      </c>
      <c r="D49" s="33"/>
      <c r="E49" s="33"/>
      <c r="F49" s="33"/>
      <c r="G49" s="33"/>
      <c r="H49" s="33"/>
      <c r="I49" s="33"/>
      <c r="J49" s="33"/>
      <c r="K49" s="33"/>
    </row>
    <row r="50" customFormat="false" ht="16.5" hidden="false" customHeight="true" outlineLevel="0" collapsed="false">
      <c r="A50" s="31" t="s">
        <v>63</v>
      </c>
      <c r="B50" s="32" t="s">
        <v>64</v>
      </c>
      <c r="C50" s="33" t="s">
        <v>65</v>
      </c>
      <c r="D50" s="33"/>
      <c r="E50" s="33"/>
      <c r="F50" s="33"/>
      <c r="G50" s="33"/>
      <c r="H50" s="33"/>
      <c r="I50" s="33"/>
      <c r="J50" s="33"/>
      <c r="K50" s="33"/>
    </row>
    <row r="51" customFormat="false" ht="16.5" hidden="false" customHeight="true" outlineLevel="0" collapsed="false">
      <c r="A51" s="31" t="s">
        <v>66</v>
      </c>
      <c r="B51" s="32" t="s">
        <v>67</v>
      </c>
      <c r="C51" s="33" t="s">
        <v>68</v>
      </c>
      <c r="D51" s="33"/>
      <c r="E51" s="33"/>
      <c r="F51" s="33"/>
      <c r="G51" s="33"/>
      <c r="H51" s="33"/>
      <c r="I51" s="33"/>
      <c r="J51" s="33"/>
      <c r="K51" s="33"/>
    </row>
    <row r="52" customFormat="false" ht="16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customFormat="false" ht="15.75" hidden="false" customHeight="true" outlineLevel="0" collapsed="false">
      <c r="A53" s="34" t="s">
        <v>69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</row>
  </sheetData>
  <mergeCells count="73">
    <mergeCell ref="D1:K1"/>
    <mergeCell ref="C3:I3"/>
    <mergeCell ref="A5:B5"/>
    <mergeCell ref="C5:E5"/>
    <mergeCell ref="F5:K11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3:E16"/>
    <mergeCell ref="F13:K16"/>
    <mergeCell ref="B18:D18"/>
    <mergeCell ref="E18:F18"/>
    <mergeCell ref="J18:K18"/>
    <mergeCell ref="B19:D19"/>
    <mergeCell ref="E19:F19"/>
    <mergeCell ref="J19:K19"/>
    <mergeCell ref="B20:D20"/>
    <mergeCell ref="E20:F20"/>
    <mergeCell ref="J20:K20"/>
    <mergeCell ref="B21:D21"/>
    <mergeCell ref="E21:F21"/>
    <mergeCell ref="J21:K21"/>
    <mergeCell ref="B22:D22"/>
    <mergeCell ref="E22:F22"/>
    <mergeCell ref="J22:K22"/>
    <mergeCell ref="B23:D23"/>
    <mergeCell ref="E23:F23"/>
    <mergeCell ref="J23:K23"/>
    <mergeCell ref="B24:D24"/>
    <mergeCell ref="E24:F24"/>
    <mergeCell ref="J24:K24"/>
    <mergeCell ref="B25:D25"/>
    <mergeCell ref="E25:F25"/>
    <mergeCell ref="J25:K25"/>
    <mergeCell ref="B26:D26"/>
    <mergeCell ref="E26:F26"/>
    <mergeCell ref="J26:K26"/>
    <mergeCell ref="B27:D27"/>
    <mergeCell ref="E27:F27"/>
    <mergeCell ref="J27:K27"/>
    <mergeCell ref="B28:D28"/>
    <mergeCell ref="E28:F28"/>
    <mergeCell ref="J28:K28"/>
    <mergeCell ref="A29:F29"/>
    <mergeCell ref="G29:J29"/>
    <mergeCell ref="A30:F37"/>
    <mergeCell ref="G30:J30"/>
    <mergeCell ref="G31:J31"/>
    <mergeCell ref="G32:I32"/>
    <mergeCell ref="G33:I33"/>
    <mergeCell ref="G34:I34"/>
    <mergeCell ref="G35:I35"/>
    <mergeCell ref="G36:J36"/>
    <mergeCell ref="G37:J37"/>
    <mergeCell ref="A38:F38"/>
    <mergeCell ref="G38:J38"/>
    <mergeCell ref="A40:F43"/>
    <mergeCell ref="G40:K43"/>
    <mergeCell ref="A45:K45"/>
    <mergeCell ref="C46:K46"/>
    <mergeCell ref="C47:K47"/>
    <mergeCell ref="C48:K48"/>
    <mergeCell ref="C49:K49"/>
    <mergeCell ref="C50:K50"/>
    <mergeCell ref="C51:K51"/>
    <mergeCell ref="A53:K53"/>
  </mergeCells>
  <dataValidations count="1">
    <dataValidation allowBlank="false" errorStyle="stop" operator="between" showDropDown="false" showErrorMessage="false" showInputMessage="false" sqref="J32" type="list">
      <formula1>"CGST + SGST,CGST + IGST"</formula1>
      <formula2>0</formula2>
    </dataValidation>
  </dataValidations>
  <printOptions headings="false" gridLines="false" gridLinesSet="true" horizontalCentered="true" verticalCentered="true"/>
  <pageMargins left="0.0201388888888889" right="0.0201388888888889" top="0.0201388888888889" bottom="0.020138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5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44.16"/>
    <col collapsed="false" customWidth="true" hidden="false" outlineLevel="0" max="3" min="3" style="0" width="22.16"/>
    <col collapsed="false" customWidth="true" hidden="false" outlineLevel="0" max="4" min="4" style="0" width="19"/>
    <col collapsed="false" customWidth="true" hidden="false" outlineLevel="0" max="5" min="5" style="0" width="14.16"/>
    <col collapsed="false" customWidth="true" hidden="false" outlineLevel="0" max="6" min="6" style="0" width="19"/>
    <col collapsed="false" customWidth="true" hidden="false" outlineLevel="0" max="7" min="7" style="0" width="22.16"/>
    <col collapsed="false" customWidth="true" hidden="false" outlineLevel="0" max="11" min="8" style="0" width="20.51"/>
    <col collapsed="false" customWidth="true" hidden="true" outlineLevel="0" max="18" min="13" style="0" width="13"/>
    <col collapsed="false" customWidth="true" hidden="true" outlineLevel="0" max="25" min="20" style="0" width="13"/>
  </cols>
  <sheetData>
    <row r="1" customFormat="false" ht="57.75" hidden="false" customHeight="true" outlineLevel="0" collapsed="false">
      <c r="A1" s="1"/>
      <c r="B1" s="1"/>
      <c r="C1" s="1"/>
      <c r="D1" s="35" t="s">
        <v>0</v>
      </c>
      <c r="E1" s="35"/>
      <c r="F1" s="35"/>
      <c r="G1" s="35"/>
      <c r="H1" s="35"/>
      <c r="I1" s="35"/>
      <c r="J1" s="35"/>
      <c r="K1" s="35"/>
      <c r="M1" s="0" t="s">
        <v>1</v>
      </c>
      <c r="N1" s="0" t="s">
        <v>2</v>
      </c>
      <c r="O1" s="0" t="s">
        <v>3</v>
      </c>
      <c r="P1" s="0" t="s">
        <v>4</v>
      </c>
      <c r="Q1" s="0" t="s">
        <v>5</v>
      </c>
      <c r="R1" s="0" t="s">
        <v>6</v>
      </c>
      <c r="T1" s="0" t="s">
        <v>7</v>
      </c>
      <c r="U1" s="0" t="s">
        <v>8</v>
      </c>
      <c r="V1" s="0" t="s">
        <v>9</v>
      </c>
      <c r="W1" s="0" t="s">
        <v>10</v>
      </c>
      <c r="X1" s="0" t="s">
        <v>11</v>
      </c>
      <c r="Y1" s="0" t="s">
        <v>12</v>
      </c>
    </row>
    <row r="2" customFormat="false" ht="16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M2" s="0" t="n">
        <f aca="false">INT(K38/10000000)</f>
        <v>0</v>
      </c>
      <c r="N2" s="0" t="n">
        <f aca="false">MOD(INT(K38/100000),100)</f>
        <v>0</v>
      </c>
      <c r="O2" s="0" t="n">
        <f aca="false">MOD(INT(K38/1000),100)</f>
        <v>0</v>
      </c>
      <c r="P2" s="0" t="n">
        <f aca="false">MOD(INT(K38/100),10)</f>
        <v>0</v>
      </c>
      <c r="Q2" s="0" t="n">
        <f aca="false">MOD(K38,100)</f>
        <v>0</v>
      </c>
      <c r="R2" s="0" t="n">
        <f aca="false">ROUND((K38-INT(K38))*100,0)</f>
        <v>0</v>
      </c>
      <c r="T2" s="0" t="str">
        <f aca="false">IF(M2=0,"",VLOOKUP(M2,AmountWords!$A$1:$B$100,2,FALSE())&amp;" Crore")</f>
        <v/>
      </c>
      <c r="U2" s="0" t="str">
        <f aca="false">IF(N2=0,"",VLOOKUP(N2,AmountWords!$A$1:$B$100,2,FALSE())&amp;" Lakh")</f>
        <v/>
      </c>
      <c r="V2" s="0" t="str">
        <f aca="false">IF(O2=0,"",VLOOKUP(O2,AmountWords!$A$1:$B$100,2,FALSE())&amp;" Thousand")</f>
        <v/>
      </c>
      <c r="W2" s="0" t="str">
        <f aca="false">IF(P2=0,"",VLOOKUP(P2,AmountWords!$A$1:$B$100,2,FALSE())&amp;" Hundred")</f>
        <v/>
      </c>
      <c r="X2" s="0" t="str">
        <f aca="false">IF(Q2=0,"",VLOOKUP(Q2,AmountWords!$A$1:$B$100,2,FALSE()))</f>
        <v/>
      </c>
      <c r="Y2" s="0" t="str">
        <f aca="false">IF(R2=0,"","and "&amp;VLOOKUP(R2,AmountWords!$A$1:$B$100,2,FALSE())&amp;" Paise")</f>
        <v/>
      </c>
    </row>
    <row r="3" customFormat="false" ht="19.5" hidden="false" customHeight="true" outlineLevel="0" collapsed="false">
      <c r="A3" s="1"/>
      <c r="B3" s="1"/>
      <c r="C3" s="3" t="s">
        <v>76</v>
      </c>
      <c r="D3" s="3"/>
      <c r="E3" s="3"/>
      <c r="F3" s="3"/>
      <c r="G3" s="3"/>
      <c r="H3" s="3"/>
      <c r="I3" s="3"/>
      <c r="J3" s="1"/>
      <c r="K3" s="1"/>
    </row>
    <row r="4" customFormat="false" ht="16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16.5" hidden="false" customHeight="true" outlineLevel="0" collapsed="false">
      <c r="A5" s="4" t="s">
        <v>77</v>
      </c>
      <c r="B5" s="4"/>
      <c r="C5" s="5" t="s">
        <v>78</v>
      </c>
      <c r="D5" s="5"/>
      <c r="E5" s="5"/>
      <c r="F5" s="6" t="s">
        <v>73</v>
      </c>
      <c r="G5" s="6"/>
      <c r="H5" s="6"/>
      <c r="I5" s="6"/>
      <c r="J5" s="6"/>
      <c r="K5" s="6"/>
    </row>
    <row r="6" customFormat="false" ht="16.5" hidden="false" customHeight="true" outlineLevel="0" collapsed="false">
      <c r="A6" s="4" t="s">
        <v>79</v>
      </c>
      <c r="B6" s="4"/>
      <c r="C6" s="5" t="s">
        <v>18</v>
      </c>
      <c r="D6" s="5"/>
      <c r="E6" s="5"/>
      <c r="F6" s="6"/>
      <c r="G6" s="6"/>
      <c r="H6" s="6"/>
      <c r="I6" s="6"/>
      <c r="J6" s="6"/>
      <c r="K6" s="6"/>
    </row>
    <row r="7" customFormat="false" ht="16.5" hidden="false" customHeight="true" outlineLevel="0" collapsed="false">
      <c r="A7" s="4" t="s">
        <v>14</v>
      </c>
      <c r="B7" s="4"/>
      <c r="C7" s="5" t="s">
        <v>80</v>
      </c>
      <c r="D7" s="5"/>
      <c r="E7" s="5"/>
      <c r="F7" s="6"/>
      <c r="G7" s="6"/>
      <c r="H7" s="6"/>
      <c r="I7" s="6"/>
      <c r="J7" s="6"/>
      <c r="K7" s="6"/>
    </row>
    <row r="8" customFormat="false" ht="16.5" hidden="false" customHeight="true" outlineLevel="0" collapsed="false">
      <c r="A8" s="4" t="s">
        <v>17</v>
      </c>
      <c r="B8" s="4"/>
      <c r="C8" s="5" t="s">
        <v>18</v>
      </c>
      <c r="D8" s="5"/>
      <c r="E8" s="5"/>
      <c r="F8" s="6"/>
      <c r="G8" s="6"/>
      <c r="H8" s="6"/>
      <c r="I8" s="6"/>
      <c r="J8" s="6"/>
      <c r="K8" s="6"/>
    </row>
    <row r="9" customFormat="false" ht="16.5" hidden="false" customHeight="true" outlineLevel="0" collapsed="false">
      <c r="A9" s="4" t="s">
        <v>20</v>
      </c>
      <c r="B9" s="4"/>
      <c r="C9" s="5" t="s">
        <v>21</v>
      </c>
      <c r="D9" s="5"/>
      <c r="E9" s="5"/>
      <c r="F9" s="6"/>
      <c r="G9" s="6"/>
      <c r="H9" s="6"/>
      <c r="I9" s="6"/>
      <c r="J9" s="6"/>
      <c r="K9" s="6"/>
    </row>
    <row r="10" customFormat="false" ht="16.5" hidden="false" customHeight="true" outlineLevel="0" collapsed="false">
      <c r="A10" s="4" t="s">
        <v>81</v>
      </c>
      <c r="B10" s="4"/>
      <c r="C10" s="5" t="s">
        <v>80</v>
      </c>
      <c r="D10" s="5"/>
      <c r="E10" s="5"/>
      <c r="F10" s="6"/>
      <c r="G10" s="6"/>
      <c r="H10" s="6"/>
      <c r="I10" s="6"/>
      <c r="J10" s="6"/>
      <c r="K10" s="6"/>
    </row>
    <row r="11" customFormat="false" ht="16.5" hidden="false" customHeight="true" outlineLevel="0" collapsed="false">
      <c r="A11" s="4" t="s">
        <v>24</v>
      </c>
      <c r="B11" s="4"/>
      <c r="C11" s="5" t="s">
        <v>25</v>
      </c>
      <c r="D11" s="5"/>
      <c r="E11" s="5"/>
      <c r="F11" s="6"/>
      <c r="G11" s="6"/>
      <c r="H11" s="6"/>
      <c r="I11" s="6"/>
      <c r="J11" s="6"/>
      <c r="K11" s="6"/>
    </row>
    <row r="12" customFormat="false" ht="16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customFormat="false" ht="16.5" hidden="false" customHeight="true" outlineLevel="0" collapsed="false">
      <c r="A13" s="8" t="s">
        <v>26</v>
      </c>
      <c r="B13" s="8"/>
      <c r="C13" s="8"/>
      <c r="D13" s="8"/>
      <c r="E13" s="8"/>
      <c r="F13" s="8" t="s">
        <v>27</v>
      </c>
      <c r="G13" s="8"/>
      <c r="H13" s="8"/>
      <c r="I13" s="8"/>
      <c r="J13" s="8"/>
      <c r="K13" s="8"/>
    </row>
    <row r="14" customFormat="false" ht="16.5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customFormat="false" ht="16.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customFormat="false" ht="16.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customFormat="false" ht="16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customFormat="false" ht="16.5" hidden="false" customHeight="true" outlineLevel="0" collapsed="false">
      <c r="A18" s="9" t="s">
        <v>28</v>
      </c>
      <c r="B18" s="9" t="s">
        <v>29</v>
      </c>
      <c r="C18" s="9"/>
      <c r="D18" s="9"/>
      <c r="E18" s="9" t="s">
        <v>30</v>
      </c>
      <c r="F18" s="9"/>
      <c r="G18" s="9" t="s">
        <v>31</v>
      </c>
      <c r="H18" s="9" t="s">
        <v>32</v>
      </c>
      <c r="I18" s="9" t="s">
        <v>33</v>
      </c>
      <c r="J18" s="9" t="s">
        <v>34</v>
      </c>
      <c r="K18" s="9"/>
    </row>
    <row r="19" customFormat="false" ht="16.5" hidden="false" customHeight="true" outlineLevel="0" collapsed="false">
      <c r="A19" s="10" t="n">
        <v>1</v>
      </c>
      <c r="B19" s="11"/>
      <c r="C19" s="11"/>
      <c r="D19" s="11"/>
      <c r="E19" s="10"/>
      <c r="F19" s="10"/>
      <c r="G19" s="10"/>
      <c r="H19" s="10"/>
      <c r="I19" s="12"/>
      <c r="J19" s="12" t="str">
        <f aca="false">IF(OR(H19="",I19=""),"",H19*I19)</f>
        <v/>
      </c>
      <c r="K19" s="12"/>
    </row>
    <row r="20" customFormat="false" ht="16.5" hidden="false" customHeight="true" outlineLevel="0" collapsed="false">
      <c r="A20" s="10" t="n">
        <v>2</v>
      </c>
      <c r="B20" s="11"/>
      <c r="C20" s="11"/>
      <c r="D20" s="11"/>
      <c r="E20" s="10"/>
      <c r="F20" s="10"/>
      <c r="G20" s="10"/>
      <c r="H20" s="10"/>
      <c r="I20" s="12"/>
      <c r="J20" s="12" t="str">
        <f aca="false">IF(OR(H20="",I20=""),"",H20*I20)</f>
        <v/>
      </c>
      <c r="K20" s="12"/>
    </row>
    <row r="21" customFormat="false" ht="16.5" hidden="false" customHeight="true" outlineLevel="0" collapsed="false">
      <c r="A21" s="10" t="n">
        <v>3</v>
      </c>
      <c r="B21" s="11"/>
      <c r="C21" s="11"/>
      <c r="D21" s="11"/>
      <c r="E21" s="10"/>
      <c r="F21" s="10"/>
      <c r="G21" s="10"/>
      <c r="H21" s="10"/>
      <c r="I21" s="12"/>
      <c r="J21" s="12" t="str">
        <f aca="false">IF(OR(H21="",I21=""),"",H21*I21)</f>
        <v/>
      </c>
      <c r="K21" s="12"/>
    </row>
    <row r="22" customFormat="false" ht="16.5" hidden="false" customHeight="true" outlineLevel="0" collapsed="false">
      <c r="A22" s="10" t="n">
        <v>4</v>
      </c>
      <c r="B22" s="11"/>
      <c r="C22" s="11"/>
      <c r="D22" s="11"/>
      <c r="E22" s="10"/>
      <c r="F22" s="10"/>
      <c r="G22" s="10"/>
      <c r="H22" s="10"/>
      <c r="I22" s="12"/>
      <c r="J22" s="12" t="str">
        <f aca="false">IF(OR(H22="",I22=""),"",H22*I22)</f>
        <v/>
      </c>
      <c r="K22" s="12"/>
    </row>
    <row r="23" customFormat="false" ht="16.5" hidden="false" customHeight="true" outlineLevel="0" collapsed="false">
      <c r="A23" s="10" t="n">
        <v>5</v>
      </c>
      <c r="B23" s="11"/>
      <c r="C23" s="11"/>
      <c r="D23" s="11"/>
      <c r="E23" s="10"/>
      <c r="F23" s="10"/>
      <c r="G23" s="10"/>
      <c r="H23" s="10"/>
      <c r="I23" s="12"/>
      <c r="J23" s="12" t="str">
        <f aca="false">IF(OR(H23="",I23=""),"",H23*I23)</f>
        <v/>
      </c>
      <c r="K23" s="12"/>
    </row>
    <row r="24" customFormat="false" ht="16.5" hidden="false" customHeight="true" outlineLevel="0" collapsed="false">
      <c r="A24" s="10" t="n">
        <v>6</v>
      </c>
      <c r="B24" s="11"/>
      <c r="C24" s="11"/>
      <c r="D24" s="11"/>
      <c r="E24" s="10"/>
      <c r="F24" s="10"/>
      <c r="G24" s="10"/>
      <c r="H24" s="10"/>
      <c r="I24" s="12"/>
      <c r="J24" s="12" t="str">
        <f aca="false">IF(OR(H24="",I24=""),"",H24*I24)</f>
        <v/>
      </c>
      <c r="K24" s="12"/>
    </row>
    <row r="25" customFormat="false" ht="16.5" hidden="false" customHeight="true" outlineLevel="0" collapsed="false">
      <c r="A25" s="10" t="n">
        <v>7</v>
      </c>
      <c r="B25" s="11"/>
      <c r="C25" s="11"/>
      <c r="D25" s="11"/>
      <c r="E25" s="10"/>
      <c r="F25" s="10"/>
      <c r="G25" s="10"/>
      <c r="H25" s="10"/>
      <c r="I25" s="12"/>
      <c r="J25" s="12" t="str">
        <f aca="false">IF(OR(H25="",I25=""),"",H25*I25)</f>
        <v/>
      </c>
      <c r="K25" s="12"/>
    </row>
    <row r="26" customFormat="false" ht="16.5" hidden="false" customHeight="true" outlineLevel="0" collapsed="false">
      <c r="A26" s="10" t="n">
        <v>8</v>
      </c>
      <c r="B26" s="11"/>
      <c r="C26" s="11"/>
      <c r="D26" s="11"/>
      <c r="E26" s="10"/>
      <c r="F26" s="10"/>
      <c r="G26" s="10"/>
      <c r="H26" s="10"/>
      <c r="I26" s="12"/>
      <c r="J26" s="12" t="str">
        <f aca="false">IF(OR(H26="",I26=""),"",H26*I26)</f>
        <v/>
      </c>
      <c r="K26" s="12"/>
    </row>
    <row r="27" customFormat="false" ht="16.5" hidden="false" customHeight="true" outlineLevel="0" collapsed="false">
      <c r="A27" s="10" t="n">
        <v>9</v>
      </c>
      <c r="B27" s="11"/>
      <c r="C27" s="11"/>
      <c r="D27" s="11"/>
      <c r="E27" s="10"/>
      <c r="F27" s="10"/>
      <c r="G27" s="10"/>
      <c r="H27" s="10"/>
      <c r="I27" s="12"/>
      <c r="J27" s="12" t="str">
        <f aca="false">IF(OR(H27="",I27=""),"",H27*I27)</f>
        <v/>
      </c>
      <c r="K27" s="12"/>
    </row>
    <row r="28" customFormat="false" ht="16.5" hidden="false" customHeight="true" outlineLevel="0" collapsed="false">
      <c r="A28" s="10" t="n">
        <v>10</v>
      </c>
      <c r="B28" s="11"/>
      <c r="C28" s="11"/>
      <c r="D28" s="11"/>
      <c r="E28" s="10"/>
      <c r="F28" s="10"/>
      <c r="G28" s="10"/>
      <c r="H28" s="10"/>
      <c r="I28" s="12"/>
      <c r="J28" s="12" t="str">
        <f aca="false">IF(OR(H28="",I28=""),"",H28*I28)</f>
        <v/>
      </c>
      <c r="K28" s="12"/>
    </row>
    <row r="29" customFormat="false" ht="19.5" hidden="false" customHeight="true" outlineLevel="0" collapsed="false">
      <c r="A29" s="13" t="s">
        <v>35</v>
      </c>
      <c r="B29" s="13"/>
      <c r="C29" s="13"/>
      <c r="D29" s="13"/>
      <c r="E29" s="13"/>
      <c r="F29" s="13"/>
      <c r="G29" s="14" t="s">
        <v>36</v>
      </c>
      <c r="H29" s="14"/>
      <c r="I29" s="14"/>
      <c r="J29" s="14"/>
      <c r="K29" s="15" t="n">
        <f aca="false">SUM(J19:J28)</f>
        <v>0</v>
      </c>
    </row>
    <row r="30" customFormat="false" ht="19.5" hidden="false" customHeight="true" outlineLevel="0" collapsed="false">
      <c r="A30" s="16"/>
      <c r="B30" s="16"/>
      <c r="C30" s="16"/>
      <c r="D30" s="16"/>
      <c r="E30" s="16"/>
      <c r="F30" s="16"/>
      <c r="G30" s="17" t="s">
        <v>37</v>
      </c>
      <c r="H30" s="17"/>
      <c r="I30" s="17"/>
      <c r="J30" s="17"/>
      <c r="K30" s="18"/>
    </row>
    <row r="31" customFormat="false" ht="18" hidden="false" customHeight="true" outlineLevel="0" collapsed="false">
      <c r="A31" s="16"/>
      <c r="B31" s="16"/>
      <c r="C31" s="16"/>
      <c r="D31" s="16"/>
      <c r="E31" s="16"/>
      <c r="F31" s="16"/>
      <c r="G31" s="14" t="s">
        <v>38</v>
      </c>
      <c r="H31" s="14"/>
      <c r="I31" s="14"/>
      <c r="J31" s="14"/>
      <c r="K31" s="15" t="n">
        <f aca="false">K29+K30</f>
        <v>0</v>
      </c>
    </row>
    <row r="32" customFormat="false" ht="18" hidden="false" customHeight="true" outlineLevel="0" collapsed="false">
      <c r="A32" s="16"/>
      <c r="B32" s="16"/>
      <c r="C32" s="16"/>
      <c r="D32" s="16"/>
      <c r="E32" s="16"/>
      <c r="F32" s="16"/>
      <c r="G32" s="19" t="s">
        <v>39</v>
      </c>
      <c r="H32" s="19"/>
      <c r="I32" s="19"/>
      <c r="J32" s="20" t="s">
        <v>40</v>
      </c>
      <c r="K32" s="19" t="s">
        <v>34</v>
      </c>
    </row>
    <row r="33" customFormat="false" ht="18" hidden="false" customHeight="true" outlineLevel="0" collapsed="false">
      <c r="A33" s="16"/>
      <c r="B33" s="16"/>
      <c r="C33" s="16"/>
      <c r="D33" s="16"/>
      <c r="E33" s="16"/>
      <c r="F33" s="16"/>
      <c r="G33" s="21" t="s">
        <v>41</v>
      </c>
      <c r="H33" s="21"/>
      <c r="I33" s="21"/>
      <c r="J33" s="21" t="s">
        <v>42</v>
      </c>
      <c r="K33" s="22" t="n">
        <f aca="false">IF(J32="CGST + SGST",K31*9%,K31*9%)</f>
        <v>0</v>
      </c>
    </row>
    <row r="34" customFormat="false" ht="18" hidden="false" customHeight="true" outlineLevel="0" collapsed="false">
      <c r="A34" s="16"/>
      <c r="B34" s="16"/>
      <c r="C34" s="16"/>
      <c r="D34" s="16"/>
      <c r="E34" s="16"/>
      <c r="F34" s="16"/>
      <c r="G34" s="21" t="s">
        <v>43</v>
      </c>
      <c r="H34" s="21"/>
      <c r="I34" s="21"/>
      <c r="J34" s="21" t="s">
        <v>42</v>
      </c>
      <c r="K34" s="22" t="n">
        <f aca="false">IF(J32="CGST + SGST",K31*9%,0)</f>
        <v>0</v>
      </c>
    </row>
    <row r="35" customFormat="false" ht="18" hidden="false" customHeight="true" outlineLevel="0" collapsed="false">
      <c r="A35" s="16"/>
      <c r="B35" s="16"/>
      <c r="C35" s="16"/>
      <c r="D35" s="16"/>
      <c r="E35" s="16"/>
      <c r="F35" s="16"/>
      <c r="G35" s="21" t="s">
        <v>44</v>
      </c>
      <c r="H35" s="21"/>
      <c r="I35" s="21"/>
      <c r="J35" s="21" t="s">
        <v>42</v>
      </c>
      <c r="K35" s="22" t="n">
        <f aca="false">IF(J32="CGST + IGST",K31*9%,0)</f>
        <v>0</v>
      </c>
    </row>
    <row r="36" customFormat="false" ht="18" hidden="false" customHeight="true" outlineLevel="0" collapsed="false">
      <c r="A36" s="16"/>
      <c r="B36" s="16"/>
      <c r="C36" s="16"/>
      <c r="D36" s="16"/>
      <c r="E36" s="16"/>
      <c r="F36" s="16"/>
      <c r="G36" s="23" t="s">
        <v>45</v>
      </c>
      <c r="H36" s="23"/>
      <c r="I36" s="23"/>
      <c r="J36" s="23"/>
      <c r="K36" s="24" t="n">
        <f aca="false">SUM(K33:K35)</f>
        <v>0</v>
      </c>
    </row>
    <row r="37" customFormat="false" ht="18" hidden="false" customHeight="true" outlineLevel="0" collapsed="false">
      <c r="A37" s="16"/>
      <c r="B37" s="16"/>
      <c r="C37" s="16"/>
      <c r="D37" s="16"/>
      <c r="E37" s="16"/>
      <c r="F37" s="16"/>
      <c r="G37" s="21" t="s">
        <v>46</v>
      </c>
      <c r="H37" s="21"/>
      <c r="I37" s="21"/>
      <c r="J37" s="21"/>
      <c r="K37" s="22"/>
    </row>
    <row r="38" customFormat="false" ht="21.75" hidden="false" customHeight="true" outlineLevel="0" collapsed="false">
      <c r="A38" s="25" t="str">
        <f aca="false">IF(K38="","","Amount in Words: "&amp;IF(K38=0,"Rupees Zero Only","Rupees "&amp;TRIM(T2&amp;" "&amp;U2&amp;" "&amp;V2&amp;" "&amp;W2&amp;" "&amp;X2&amp;" "&amp;Y2)&amp;" Only"))</f>
        <v>Amount in Words: Rupees Zero Only</v>
      </c>
      <c r="B38" s="25"/>
      <c r="C38" s="25"/>
      <c r="D38" s="25"/>
      <c r="E38" s="25"/>
      <c r="F38" s="25"/>
      <c r="G38" s="26" t="s">
        <v>47</v>
      </c>
      <c r="H38" s="26"/>
      <c r="I38" s="26"/>
      <c r="J38" s="26"/>
      <c r="K38" s="27" t="n">
        <f aca="false">K31+K36+K37</f>
        <v>0</v>
      </c>
    </row>
    <row r="39" customFormat="false" ht="16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customFormat="false" ht="16.5" hidden="false" customHeight="true" outlineLevel="0" collapsed="false">
      <c r="A40" s="28" t="s">
        <v>48</v>
      </c>
      <c r="B40" s="28"/>
      <c r="C40" s="28"/>
      <c r="D40" s="28"/>
      <c r="E40" s="28"/>
      <c r="F40" s="28"/>
      <c r="G40" s="29" t="s">
        <v>49</v>
      </c>
      <c r="H40" s="29"/>
      <c r="I40" s="29"/>
      <c r="J40" s="29"/>
      <c r="K40" s="29"/>
    </row>
    <row r="41" customFormat="false" ht="16.5" hidden="false" customHeight="true" outlineLevel="0" collapsed="false">
      <c r="A41" s="28"/>
      <c r="B41" s="28"/>
      <c r="C41" s="28"/>
      <c r="D41" s="28"/>
      <c r="E41" s="28"/>
      <c r="F41" s="28"/>
      <c r="G41" s="29"/>
      <c r="H41" s="29"/>
      <c r="I41" s="29"/>
      <c r="J41" s="29"/>
      <c r="K41" s="29"/>
    </row>
    <row r="42" customFormat="false" ht="16.5" hidden="false" customHeight="true" outlineLevel="0" collapsed="false">
      <c r="A42" s="28"/>
      <c r="B42" s="28"/>
      <c r="C42" s="28"/>
      <c r="D42" s="28"/>
      <c r="E42" s="28"/>
      <c r="F42" s="28"/>
      <c r="G42" s="29"/>
      <c r="H42" s="29"/>
      <c r="I42" s="29"/>
      <c r="J42" s="29"/>
      <c r="K42" s="29"/>
    </row>
    <row r="43" customFormat="false" ht="16.5" hidden="false" customHeight="true" outlineLevel="0" collapsed="false">
      <c r="A43" s="28"/>
      <c r="B43" s="28"/>
      <c r="C43" s="28"/>
      <c r="D43" s="28"/>
      <c r="E43" s="28"/>
      <c r="F43" s="28"/>
      <c r="G43" s="29"/>
      <c r="H43" s="29"/>
      <c r="I43" s="29"/>
      <c r="J43" s="29"/>
      <c r="K43" s="29"/>
    </row>
    <row r="44" customFormat="false" ht="16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customFormat="false" ht="19.5" hidden="false" customHeight="true" outlineLevel="0" collapsed="false">
      <c r="A45" s="30" t="s">
        <v>50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</row>
    <row r="46" customFormat="false" ht="16.5" hidden="false" customHeight="true" outlineLevel="0" collapsed="false">
      <c r="A46" s="31" t="s">
        <v>51</v>
      </c>
      <c r="B46" s="32" t="s">
        <v>52</v>
      </c>
      <c r="C46" s="33" t="s">
        <v>53</v>
      </c>
      <c r="D46" s="33"/>
      <c r="E46" s="33"/>
      <c r="F46" s="33"/>
      <c r="G46" s="33"/>
      <c r="H46" s="33"/>
      <c r="I46" s="33"/>
      <c r="J46" s="33"/>
      <c r="K46" s="33"/>
    </row>
    <row r="47" customFormat="false" ht="16.5" hidden="false" customHeight="true" outlineLevel="0" collapsed="false">
      <c r="A47" s="31" t="s">
        <v>54</v>
      </c>
      <c r="B47" s="32" t="s">
        <v>55</v>
      </c>
      <c r="C47" s="33" t="s">
        <v>56</v>
      </c>
      <c r="D47" s="33"/>
      <c r="E47" s="33"/>
      <c r="F47" s="33"/>
      <c r="G47" s="33"/>
      <c r="H47" s="33"/>
      <c r="I47" s="33"/>
      <c r="J47" s="33"/>
      <c r="K47" s="33"/>
    </row>
    <row r="48" customFormat="false" ht="16.5" hidden="false" customHeight="true" outlineLevel="0" collapsed="false">
      <c r="A48" s="31" t="s">
        <v>57</v>
      </c>
      <c r="B48" s="32" t="s">
        <v>58</v>
      </c>
      <c r="C48" s="33" t="s">
        <v>59</v>
      </c>
      <c r="D48" s="33"/>
      <c r="E48" s="33"/>
      <c r="F48" s="33"/>
      <c r="G48" s="33"/>
      <c r="H48" s="33"/>
      <c r="I48" s="33"/>
      <c r="J48" s="33"/>
      <c r="K48" s="33"/>
    </row>
    <row r="49" customFormat="false" ht="16.5" hidden="false" customHeight="true" outlineLevel="0" collapsed="false">
      <c r="A49" s="31" t="s">
        <v>60</v>
      </c>
      <c r="B49" s="32" t="s">
        <v>61</v>
      </c>
      <c r="C49" s="33" t="s">
        <v>62</v>
      </c>
      <c r="D49" s="33"/>
      <c r="E49" s="33"/>
      <c r="F49" s="33"/>
      <c r="G49" s="33"/>
      <c r="H49" s="33"/>
      <c r="I49" s="33"/>
      <c r="J49" s="33"/>
      <c r="K49" s="33"/>
    </row>
    <row r="50" customFormat="false" ht="16.5" hidden="false" customHeight="true" outlineLevel="0" collapsed="false">
      <c r="A50" s="31" t="s">
        <v>63</v>
      </c>
      <c r="B50" s="32" t="s">
        <v>64</v>
      </c>
      <c r="C50" s="33" t="s">
        <v>65</v>
      </c>
      <c r="D50" s="33"/>
      <c r="E50" s="33"/>
      <c r="F50" s="33"/>
      <c r="G50" s="33"/>
      <c r="H50" s="33"/>
      <c r="I50" s="33"/>
      <c r="J50" s="33"/>
      <c r="K50" s="33"/>
    </row>
    <row r="51" customFormat="false" ht="16.5" hidden="false" customHeight="true" outlineLevel="0" collapsed="false">
      <c r="A51" s="31" t="s">
        <v>66</v>
      </c>
      <c r="B51" s="32" t="s">
        <v>67</v>
      </c>
      <c r="C51" s="33" t="s">
        <v>68</v>
      </c>
      <c r="D51" s="33"/>
      <c r="E51" s="33"/>
      <c r="F51" s="33"/>
      <c r="G51" s="33"/>
      <c r="H51" s="33"/>
      <c r="I51" s="33"/>
      <c r="J51" s="33"/>
      <c r="K51" s="33"/>
    </row>
    <row r="52" customFormat="false" ht="16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customFormat="false" ht="15.75" hidden="false" customHeight="true" outlineLevel="0" collapsed="false">
      <c r="A53" s="34" t="s">
        <v>69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</row>
  </sheetData>
  <mergeCells count="75">
    <mergeCell ref="D1:K1"/>
    <mergeCell ref="C3:I3"/>
    <mergeCell ref="A5:B5"/>
    <mergeCell ref="C5:E5"/>
    <mergeCell ref="F5:K11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3:E16"/>
    <mergeCell ref="F13:K16"/>
    <mergeCell ref="B18:D18"/>
    <mergeCell ref="E18:F18"/>
    <mergeCell ref="J18:K18"/>
    <mergeCell ref="B19:D19"/>
    <mergeCell ref="E19:F19"/>
    <mergeCell ref="J19:K19"/>
    <mergeCell ref="B20:D20"/>
    <mergeCell ref="E20:F20"/>
    <mergeCell ref="J20:K20"/>
    <mergeCell ref="B21:D21"/>
    <mergeCell ref="E21:F21"/>
    <mergeCell ref="J21:K21"/>
    <mergeCell ref="B22:D22"/>
    <mergeCell ref="E22:F22"/>
    <mergeCell ref="J22:K22"/>
    <mergeCell ref="B23:D23"/>
    <mergeCell ref="E23:F23"/>
    <mergeCell ref="J23:K23"/>
    <mergeCell ref="B24:D24"/>
    <mergeCell ref="E24:F24"/>
    <mergeCell ref="J24:K24"/>
    <mergeCell ref="B25:D25"/>
    <mergeCell ref="E25:F25"/>
    <mergeCell ref="J25:K25"/>
    <mergeCell ref="B26:D26"/>
    <mergeCell ref="E26:F26"/>
    <mergeCell ref="J26:K26"/>
    <mergeCell ref="B27:D27"/>
    <mergeCell ref="E27:F27"/>
    <mergeCell ref="J27:K27"/>
    <mergeCell ref="B28:D28"/>
    <mergeCell ref="E28:F28"/>
    <mergeCell ref="J28:K28"/>
    <mergeCell ref="A29:F29"/>
    <mergeCell ref="G29:J29"/>
    <mergeCell ref="A30:F37"/>
    <mergeCell ref="G30:J30"/>
    <mergeCell ref="G31:J31"/>
    <mergeCell ref="G32:I32"/>
    <mergeCell ref="G33:I33"/>
    <mergeCell ref="G34:I34"/>
    <mergeCell ref="G35:I35"/>
    <mergeCell ref="G36:J36"/>
    <mergeCell ref="G37:J37"/>
    <mergeCell ref="A38:F38"/>
    <mergeCell ref="G38:J38"/>
    <mergeCell ref="A40:F43"/>
    <mergeCell ref="G40:K43"/>
    <mergeCell ref="A45:K45"/>
    <mergeCell ref="C46:K46"/>
    <mergeCell ref="C47:K47"/>
    <mergeCell ref="C48:K48"/>
    <mergeCell ref="C49:K49"/>
    <mergeCell ref="C50:K50"/>
    <mergeCell ref="C51:K51"/>
    <mergeCell ref="A53:K53"/>
  </mergeCells>
  <dataValidations count="1">
    <dataValidation allowBlank="false" errorStyle="stop" operator="between" showDropDown="false" showErrorMessage="false" showInputMessage="false" sqref="J32" type="list">
      <formula1>"CGST + SGST,CGST + IGST"</formula1>
      <formula2>0</formula2>
    </dataValidation>
  </dataValidations>
  <printOptions headings="false" gridLines="false" gridLinesSet="true" horizontalCentered="true" verticalCentered="true"/>
  <pageMargins left="0.0201388888888889" right="0.0201388888888889" top="0.0201388888888889" bottom="0.020138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true" outlineLevel="0" max="18" min="13" style="0" width="13"/>
    <col collapsed="false" customWidth="true" hidden="true" outlineLevel="0" max="25" min="20" style="0" width="13"/>
  </cols>
  <sheetData>
    <row r="1" customFormat="false" ht="15" hidden="false" customHeight="false" outlineLevel="0" collapsed="false">
      <c r="A1" s="0" t="n">
        <v>0</v>
      </c>
      <c r="B1" s="0" t="s">
        <v>82</v>
      </c>
    </row>
    <row r="2" customFormat="false" ht="15" hidden="false" customHeight="false" outlineLevel="0" collapsed="false">
      <c r="A2" s="0" t="n">
        <v>1</v>
      </c>
      <c r="B2" s="0" t="s">
        <v>83</v>
      </c>
      <c r="X2" s="0" t="str">
        <f aca="false">IF(Q2=0,"",VLOOKUP(Q2,AmountWords!$A$1:$B$100,2,FALSE()))</f>
        <v/>
      </c>
    </row>
    <row r="3" customFormat="false" ht="15" hidden="false" customHeight="false" outlineLevel="0" collapsed="false">
      <c r="A3" s="0" t="n">
        <v>2</v>
      </c>
      <c r="B3" s="0" t="s">
        <v>84</v>
      </c>
    </row>
    <row r="4" customFormat="false" ht="15" hidden="false" customHeight="false" outlineLevel="0" collapsed="false">
      <c r="A4" s="0" t="n">
        <v>3</v>
      </c>
      <c r="B4" s="0" t="s">
        <v>85</v>
      </c>
    </row>
    <row r="5" customFormat="false" ht="15" hidden="false" customHeight="false" outlineLevel="0" collapsed="false">
      <c r="A5" s="0" t="n">
        <v>4</v>
      </c>
      <c r="B5" s="0" t="s">
        <v>86</v>
      </c>
    </row>
    <row r="6" customFormat="false" ht="15" hidden="false" customHeight="false" outlineLevel="0" collapsed="false">
      <c r="A6" s="0" t="n">
        <v>5</v>
      </c>
      <c r="B6" s="0" t="s">
        <v>87</v>
      </c>
    </row>
    <row r="7" customFormat="false" ht="15" hidden="false" customHeight="false" outlineLevel="0" collapsed="false">
      <c r="A7" s="0" t="n">
        <v>6</v>
      </c>
      <c r="B7" s="0" t="s">
        <v>88</v>
      </c>
    </row>
    <row r="8" customFormat="false" ht="15" hidden="false" customHeight="false" outlineLevel="0" collapsed="false">
      <c r="A8" s="0" t="n">
        <v>7</v>
      </c>
      <c r="B8" s="0" t="s">
        <v>89</v>
      </c>
    </row>
    <row r="9" customFormat="false" ht="15" hidden="false" customHeight="false" outlineLevel="0" collapsed="false">
      <c r="A9" s="0" t="n">
        <v>8</v>
      </c>
      <c r="B9" s="0" t="s">
        <v>90</v>
      </c>
    </row>
    <row r="10" customFormat="false" ht="15" hidden="false" customHeight="false" outlineLevel="0" collapsed="false">
      <c r="A10" s="0" t="n">
        <v>9</v>
      </c>
      <c r="B10" s="0" t="s">
        <v>91</v>
      </c>
    </row>
    <row r="11" customFormat="false" ht="15" hidden="false" customHeight="false" outlineLevel="0" collapsed="false">
      <c r="A11" s="0" t="n">
        <v>10</v>
      </c>
      <c r="B11" s="0" t="s">
        <v>92</v>
      </c>
    </row>
    <row r="12" customFormat="false" ht="15" hidden="false" customHeight="false" outlineLevel="0" collapsed="false">
      <c r="A12" s="0" t="n">
        <v>11</v>
      </c>
      <c r="B12" s="0" t="s">
        <v>93</v>
      </c>
    </row>
    <row r="13" customFormat="false" ht="15" hidden="false" customHeight="false" outlineLevel="0" collapsed="false">
      <c r="A13" s="0" t="n">
        <v>12</v>
      </c>
      <c r="B13" s="0" t="s">
        <v>94</v>
      </c>
    </row>
    <row r="14" customFormat="false" ht="15" hidden="false" customHeight="false" outlineLevel="0" collapsed="false">
      <c r="A14" s="0" t="n">
        <v>13</v>
      </c>
      <c r="B14" s="0" t="s">
        <v>95</v>
      </c>
    </row>
    <row r="15" customFormat="false" ht="15" hidden="false" customHeight="false" outlineLevel="0" collapsed="false">
      <c r="A15" s="0" t="n">
        <v>14</v>
      </c>
      <c r="B15" s="0" t="s">
        <v>96</v>
      </c>
    </row>
    <row r="16" customFormat="false" ht="15" hidden="false" customHeight="false" outlineLevel="0" collapsed="false">
      <c r="A16" s="0" t="n">
        <v>15</v>
      </c>
      <c r="B16" s="0" t="s">
        <v>97</v>
      </c>
    </row>
    <row r="17" customFormat="false" ht="15" hidden="false" customHeight="false" outlineLevel="0" collapsed="false">
      <c r="A17" s="0" t="n">
        <v>16</v>
      </c>
      <c r="B17" s="0" t="s">
        <v>98</v>
      </c>
    </row>
    <row r="18" customFormat="false" ht="15" hidden="false" customHeight="false" outlineLevel="0" collapsed="false">
      <c r="A18" s="0" t="n">
        <v>17</v>
      </c>
      <c r="B18" s="0" t="s">
        <v>99</v>
      </c>
    </row>
    <row r="19" customFormat="false" ht="15" hidden="false" customHeight="false" outlineLevel="0" collapsed="false">
      <c r="A19" s="0" t="n">
        <v>18</v>
      </c>
      <c r="B19" s="0" t="s">
        <v>100</v>
      </c>
    </row>
    <row r="20" customFormat="false" ht="15" hidden="false" customHeight="false" outlineLevel="0" collapsed="false">
      <c r="A20" s="0" t="n">
        <v>19</v>
      </c>
      <c r="B20" s="0" t="s">
        <v>101</v>
      </c>
    </row>
    <row r="21" customFormat="false" ht="15" hidden="false" customHeight="false" outlineLevel="0" collapsed="false">
      <c r="A21" s="0" t="n">
        <v>20</v>
      </c>
      <c r="B21" s="0" t="s">
        <v>102</v>
      </c>
    </row>
    <row r="22" customFormat="false" ht="15" hidden="false" customHeight="false" outlineLevel="0" collapsed="false">
      <c r="A22" s="0" t="n">
        <v>21</v>
      </c>
      <c r="B22" s="0" t="s">
        <v>103</v>
      </c>
    </row>
    <row r="23" customFormat="false" ht="15" hidden="false" customHeight="false" outlineLevel="0" collapsed="false">
      <c r="A23" s="0" t="n">
        <v>22</v>
      </c>
      <c r="B23" s="0" t="s">
        <v>104</v>
      </c>
    </row>
    <row r="24" customFormat="false" ht="15" hidden="false" customHeight="false" outlineLevel="0" collapsed="false">
      <c r="A24" s="0" t="n">
        <v>23</v>
      </c>
      <c r="B24" s="0" t="s">
        <v>105</v>
      </c>
    </row>
    <row r="25" customFormat="false" ht="15" hidden="false" customHeight="false" outlineLevel="0" collapsed="false">
      <c r="A25" s="0" t="n">
        <v>24</v>
      </c>
      <c r="B25" s="0" t="s">
        <v>106</v>
      </c>
    </row>
    <row r="26" customFormat="false" ht="15" hidden="false" customHeight="false" outlineLevel="0" collapsed="false">
      <c r="A26" s="0" t="n">
        <v>25</v>
      </c>
      <c r="B26" s="0" t="s">
        <v>107</v>
      </c>
    </row>
    <row r="27" customFormat="false" ht="15" hidden="false" customHeight="false" outlineLevel="0" collapsed="false">
      <c r="A27" s="0" t="n">
        <v>26</v>
      </c>
      <c r="B27" s="0" t="s">
        <v>108</v>
      </c>
    </row>
    <row r="28" customFormat="false" ht="15" hidden="false" customHeight="false" outlineLevel="0" collapsed="false">
      <c r="A28" s="0" t="n">
        <v>27</v>
      </c>
      <c r="B28" s="0" t="s">
        <v>109</v>
      </c>
    </row>
    <row r="29" customFormat="false" ht="15" hidden="false" customHeight="false" outlineLevel="0" collapsed="false">
      <c r="A29" s="0" t="n">
        <v>28</v>
      </c>
      <c r="B29" s="0" t="s">
        <v>110</v>
      </c>
    </row>
    <row r="30" customFormat="false" ht="15" hidden="false" customHeight="false" outlineLevel="0" collapsed="false">
      <c r="A30" s="0" t="n">
        <v>29</v>
      </c>
      <c r="B30" s="0" t="s">
        <v>111</v>
      </c>
    </row>
    <row r="31" customFormat="false" ht="15" hidden="false" customHeight="false" outlineLevel="0" collapsed="false">
      <c r="A31" s="0" t="n">
        <v>30</v>
      </c>
      <c r="B31" s="0" t="s">
        <v>112</v>
      </c>
    </row>
    <row r="32" customFormat="false" ht="15" hidden="false" customHeight="false" outlineLevel="0" collapsed="false">
      <c r="A32" s="0" t="n">
        <v>31</v>
      </c>
      <c r="B32" s="0" t="s">
        <v>113</v>
      </c>
    </row>
    <row r="33" customFormat="false" ht="15" hidden="false" customHeight="false" outlineLevel="0" collapsed="false">
      <c r="A33" s="0" t="n">
        <v>32</v>
      </c>
      <c r="B33" s="0" t="s">
        <v>114</v>
      </c>
    </row>
    <row r="34" customFormat="false" ht="15" hidden="false" customHeight="false" outlineLevel="0" collapsed="false">
      <c r="A34" s="0" t="n">
        <v>33</v>
      </c>
      <c r="B34" s="0" t="s">
        <v>115</v>
      </c>
    </row>
    <row r="35" customFormat="false" ht="15" hidden="false" customHeight="false" outlineLevel="0" collapsed="false">
      <c r="A35" s="0" t="n">
        <v>34</v>
      </c>
      <c r="B35" s="0" t="s">
        <v>116</v>
      </c>
    </row>
    <row r="36" customFormat="false" ht="15" hidden="false" customHeight="false" outlineLevel="0" collapsed="false">
      <c r="A36" s="0" t="n">
        <v>35</v>
      </c>
      <c r="B36" s="0" t="s">
        <v>117</v>
      </c>
    </row>
    <row r="37" customFormat="false" ht="15" hidden="false" customHeight="false" outlineLevel="0" collapsed="false">
      <c r="A37" s="0" t="n">
        <v>36</v>
      </c>
      <c r="B37" s="0" t="s">
        <v>118</v>
      </c>
    </row>
    <row r="38" customFormat="false" ht="15" hidden="false" customHeight="false" outlineLevel="0" collapsed="false">
      <c r="A38" s="0" t="str">
        <f aca="false">IF(K38="","","Amount in Words: "&amp;IF(K38=0,"Rupees Zero Only","Rupees "&amp;TRIM(T2&amp;" "&amp;U2&amp;" "&amp;V2&amp;" "&amp;W2&amp;" "&amp;X2&amp;" "&amp;Y2)&amp;" Only"))</f>
        <v/>
      </c>
      <c r="B38" s="0" t="s">
        <v>119</v>
      </c>
    </row>
    <row r="39" customFormat="false" ht="15" hidden="false" customHeight="false" outlineLevel="0" collapsed="false">
      <c r="A39" s="0" t="n">
        <v>38</v>
      </c>
      <c r="B39" s="0" t="s">
        <v>120</v>
      </c>
    </row>
    <row r="40" customFormat="false" ht="15" hidden="false" customHeight="false" outlineLevel="0" collapsed="false">
      <c r="A40" s="0" t="n">
        <v>39</v>
      </c>
      <c r="B40" s="0" t="s">
        <v>121</v>
      </c>
    </row>
    <row r="41" customFormat="false" ht="15" hidden="false" customHeight="false" outlineLevel="0" collapsed="false">
      <c r="A41" s="0" t="n">
        <v>40</v>
      </c>
      <c r="B41" s="0" t="s">
        <v>122</v>
      </c>
    </row>
    <row r="42" customFormat="false" ht="15" hidden="false" customHeight="false" outlineLevel="0" collapsed="false">
      <c r="A42" s="0" t="n">
        <v>41</v>
      </c>
      <c r="B42" s="0" t="s">
        <v>123</v>
      </c>
    </row>
    <row r="43" customFormat="false" ht="15" hidden="false" customHeight="false" outlineLevel="0" collapsed="false">
      <c r="A43" s="0" t="n">
        <v>42</v>
      </c>
      <c r="B43" s="0" t="s">
        <v>124</v>
      </c>
    </row>
    <row r="44" customFormat="false" ht="15" hidden="false" customHeight="false" outlineLevel="0" collapsed="false">
      <c r="A44" s="0" t="n">
        <v>43</v>
      </c>
      <c r="B44" s="0" t="s">
        <v>125</v>
      </c>
    </row>
    <row r="45" customFormat="false" ht="15" hidden="false" customHeight="false" outlineLevel="0" collapsed="false">
      <c r="A45" s="0" t="n">
        <v>44</v>
      </c>
      <c r="B45" s="0" t="s">
        <v>126</v>
      </c>
    </row>
    <row r="46" customFormat="false" ht="15" hidden="false" customHeight="false" outlineLevel="0" collapsed="false">
      <c r="A46" s="0" t="n">
        <v>45</v>
      </c>
      <c r="B46" s="0" t="s">
        <v>127</v>
      </c>
    </row>
    <row r="47" customFormat="false" ht="15" hidden="false" customHeight="false" outlineLevel="0" collapsed="false">
      <c r="A47" s="0" t="n">
        <v>46</v>
      </c>
      <c r="B47" s="0" t="s">
        <v>128</v>
      </c>
    </row>
    <row r="48" customFormat="false" ht="15" hidden="false" customHeight="false" outlineLevel="0" collapsed="false">
      <c r="A48" s="0" t="n">
        <v>47</v>
      </c>
      <c r="B48" s="0" t="s">
        <v>129</v>
      </c>
    </row>
    <row r="49" customFormat="false" ht="15" hidden="false" customHeight="false" outlineLevel="0" collapsed="false">
      <c r="A49" s="0" t="n">
        <v>48</v>
      </c>
      <c r="B49" s="0" t="s">
        <v>130</v>
      </c>
    </row>
    <row r="50" customFormat="false" ht="15" hidden="false" customHeight="false" outlineLevel="0" collapsed="false">
      <c r="A50" s="0" t="n">
        <v>49</v>
      </c>
      <c r="B50" s="0" t="s">
        <v>131</v>
      </c>
    </row>
    <row r="51" customFormat="false" ht="15" hidden="false" customHeight="false" outlineLevel="0" collapsed="false">
      <c r="A51" s="0" t="n">
        <v>50</v>
      </c>
      <c r="B51" s="0" t="s">
        <v>132</v>
      </c>
    </row>
    <row r="52" customFormat="false" ht="15" hidden="false" customHeight="false" outlineLevel="0" collapsed="false">
      <c r="A52" s="0" t="n">
        <v>51</v>
      </c>
      <c r="B52" s="0" t="s">
        <v>133</v>
      </c>
    </row>
    <row r="53" customFormat="false" ht="15" hidden="false" customHeight="false" outlineLevel="0" collapsed="false">
      <c r="A53" s="0" t="n">
        <v>52</v>
      </c>
      <c r="B53" s="0" t="s">
        <v>134</v>
      </c>
    </row>
    <row r="54" customFormat="false" ht="15" hidden="false" customHeight="false" outlineLevel="0" collapsed="false">
      <c r="A54" s="0" t="n">
        <v>53</v>
      </c>
      <c r="B54" s="0" t="s">
        <v>135</v>
      </c>
    </row>
    <row r="55" customFormat="false" ht="15" hidden="false" customHeight="false" outlineLevel="0" collapsed="false">
      <c r="A55" s="0" t="n">
        <v>54</v>
      </c>
      <c r="B55" s="0" t="s">
        <v>136</v>
      </c>
    </row>
    <row r="56" customFormat="false" ht="15" hidden="false" customHeight="false" outlineLevel="0" collapsed="false">
      <c r="A56" s="0" t="n">
        <v>55</v>
      </c>
      <c r="B56" s="0" t="s">
        <v>137</v>
      </c>
    </row>
    <row r="57" customFormat="false" ht="15" hidden="false" customHeight="false" outlineLevel="0" collapsed="false">
      <c r="A57" s="0" t="n">
        <v>56</v>
      </c>
      <c r="B57" s="0" t="s">
        <v>138</v>
      </c>
    </row>
    <row r="58" customFormat="false" ht="15" hidden="false" customHeight="false" outlineLevel="0" collapsed="false">
      <c r="A58" s="0" t="n">
        <v>57</v>
      </c>
      <c r="B58" s="0" t="s">
        <v>139</v>
      </c>
    </row>
    <row r="59" customFormat="false" ht="15" hidden="false" customHeight="false" outlineLevel="0" collapsed="false">
      <c r="A59" s="0" t="n">
        <v>58</v>
      </c>
      <c r="B59" s="0" t="s">
        <v>140</v>
      </c>
    </row>
    <row r="60" customFormat="false" ht="15" hidden="false" customHeight="false" outlineLevel="0" collapsed="false">
      <c r="A60" s="0" t="n">
        <v>59</v>
      </c>
      <c r="B60" s="0" t="s">
        <v>141</v>
      </c>
    </row>
    <row r="61" customFormat="false" ht="15" hidden="false" customHeight="false" outlineLevel="0" collapsed="false">
      <c r="A61" s="0" t="n">
        <v>60</v>
      </c>
      <c r="B61" s="0" t="s">
        <v>142</v>
      </c>
    </row>
    <row r="62" customFormat="false" ht="15" hidden="false" customHeight="false" outlineLevel="0" collapsed="false">
      <c r="A62" s="0" t="n">
        <v>61</v>
      </c>
      <c r="B62" s="0" t="s">
        <v>143</v>
      </c>
    </row>
    <row r="63" customFormat="false" ht="15" hidden="false" customHeight="false" outlineLevel="0" collapsed="false">
      <c r="A63" s="0" t="n">
        <v>62</v>
      </c>
      <c r="B63" s="0" t="s">
        <v>144</v>
      </c>
    </row>
    <row r="64" customFormat="false" ht="15" hidden="false" customHeight="false" outlineLevel="0" collapsed="false">
      <c r="A64" s="0" t="n">
        <v>63</v>
      </c>
      <c r="B64" s="0" t="s">
        <v>145</v>
      </c>
    </row>
    <row r="65" customFormat="false" ht="15" hidden="false" customHeight="false" outlineLevel="0" collapsed="false">
      <c r="A65" s="0" t="n">
        <v>64</v>
      </c>
      <c r="B65" s="0" t="s">
        <v>146</v>
      </c>
    </row>
    <row r="66" customFormat="false" ht="15" hidden="false" customHeight="false" outlineLevel="0" collapsed="false">
      <c r="A66" s="0" t="n">
        <v>65</v>
      </c>
      <c r="B66" s="0" t="s">
        <v>147</v>
      </c>
    </row>
    <row r="67" customFormat="false" ht="15" hidden="false" customHeight="false" outlineLevel="0" collapsed="false">
      <c r="A67" s="0" t="n">
        <v>66</v>
      </c>
      <c r="B67" s="0" t="s">
        <v>148</v>
      </c>
    </row>
    <row r="68" customFormat="false" ht="15" hidden="false" customHeight="false" outlineLevel="0" collapsed="false">
      <c r="A68" s="0" t="n">
        <v>67</v>
      </c>
      <c r="B68" s="0" t="s">
        <v>149</v>
      </c>
    </row>
    <row r="69" customFormat="false" ht="15" hidden="false" customHeight="false" outlineLevel="0" collapsed="false">
      <c r="A69" s="0" t="n">
        <v>68</v>
      </c>
      <c r="B69" s="0" t="s">
        <v>150</v>
      </c>
    </row>
    <row r="70" customFormat="false" ht="15" hidden="false" customHeight="false" outlineLevel="0" collapsed="false">
      <c r="A70" s="0" t="n">
        <v>69</v>
      </c>
      <c r="B70" s="0" t="s">
        <v>151</v>
      </c>
    </row>
    <row r="71" customFormat="false" ht="15" hidden="false" customHeight="false" outlineLevel="0" collapsed="false">
      <c r="A71" s="0" t="n">
        <v>70</v>
      </c>
      <c r="B71" s="0" t="s">
        <v>152</v>
      </c>
    </row>
    <row r="72" customFormat="false" ht="15" hidden="false" customHeight="false" outlineLevel="0" collapsed="false">
      <c r="A72" s="0" t="n">
        <v>71</v>
      </c>
      <c r="B72" s="0" t="s">
        <v>153</v>
      </c>
    </row>
    <row r="73" customFormat="false" ht="15" hidden="false" customHeight="false" outlineLevel="0" collapsed="false">
      <c r="A73" s="0" t="n">
        <v>72</v>
      </c>
      <c r="B73" s="0" t="s">
        <v>154</v>
      </c>
    </row>
    <row r="74" customFormat="false" ht="15" hidden="false" customHeight="false" outlineLevel="0" collapsed="false">
      <c r="A74" s="0" t="n">
        <v>73</v>
      </c>
      <c r="B74" s="0" t="s">
        <v>155</v>
      </c>
    </row>
    <row r="75" customFormat="false" ht="15" hidden="false" customHeight="false" outlineLevel="0" collapsed="false">
      <c r="A75" s="0" t="n">
        <v>74</v>
      </c>
      <c r="B75" s="0" t="s">
        <v>156</v>
      </c>
    </row>
    <row r="76" customFormat="false" ht="15" hidden="false" customHeight="false" outlineLevel="0" collapsed="false">
      <c r="A76" s="0" t="n">
        <v>75</v>
      </c>
      <c r="B76" s="0" t="s">
        <v>157</v>
      </c>
    </row>
    <row r="77" customFormat="false" ht="15" hidden="false" customHeight="false" outlineLevel="0" collapsed="false">
      <c r="A77" s="0" t="n">
        <v>76</v>
      </c>
      <c r="B77" s="0" t="s">
        <v>158</v>
      </c>
    </row>
    <row r="78" customFormat="false" ht="15" hidden="false" customHeight="false" outlineLevel="0" collapsed="false">
      <c r="A78" s="0" t="n">
        <v>77</v>
      </c>
      <c r="B78" s="0" t="s">
        <v>159</v>
      </c>
    </row>
    <row r="79" customFormat="false" ht="15" hidden="false" customHeight="false" outlineLevel="0" collapsed="false">
      <c r="A79" s="0" t="n">
        <v>78</v>
      </c>
      <c r="B79" s="0" t="s">
        <v>160</v>
      </c>
    </row>
    <row r="80" customFormat="false" ht="15" hidden="false" customHeight="false" outlineLevel="0" collapsed="false">
      <c r="A80" s="0" t="n">
        <v>79</v>
      </c>
      <c r="B80" s="0" t="s">
        <v>161</v>
      </c>
    </row>
    <row r="81" customFormat="false" ht="15" hidden="false" customHeight="false" outlineLevel="0" collapsed="false">
      <c r="A81" s="0" t="n">
        <v>80</v>
      </c>
      <c r="B81" s="0" t="s">
        <v>162</v>
      </c>
    </row>
    <row r="82" customFormat="false" ht="15" hidden="false" customHeight="false" outlineLevel="0" collapsed="false">
      <c r="A82" s="0" t="n">
        <v>81</v>
      </c>
      <c r="B82" s="0" t="s">
        <v>163</v>
      </c>
    </row>
    <row r="83" customFormat="false" ht="15" hidden="false" customHeight="false" outlineLevel="0" collapsed="false">
      <c r="A83" s="0" t="n">
        <v>82</v>
      </c>
      <c r="B83" s="0" t="s">
        <v>164</v>
      </c>
    </row>
    <row r="84" customFormat="false" ht="15" hidden="false" customHeight="false" outlineLevel="0" collapsed="false">
      <c r="A84" s="0" t="n">
        <v>83</v>
      </c>
      <c r="B84" s="0" t="s">
        <v>165</v>
      </c>
    </row>
    <row r="85" customFormat="false" ht="15" hidden="false" customHeight="false" outlineLevel="0" collapsed="false">
      <c r="A85" s="0" t="n">
        <v>84</v>
      </c>
      <c r="B85" s="0" t="s">
        <v>166</v>
      </c>
    </row>
    <row r="86" customFormat="false" ht="15" hidden="false" customHeight="false" outlineLevel="0" collapsed="false">
      <c r="A86" s="0" t="n">
        <v>85</v>
      </c>
      <c r="B86" s="0" t="s">
        <v>167</v>
      </c>
    </row>
    <row r="87" customFormat="false" ht="15" hidden="false" customHeight="false" outlineLevel="0" collapsed="false">
      <c r="A87" s="0" t="n">
        <v>86</v>
      </c>
      <c r="B87" s="0" t="s">
        <v>168</v>
      </c>
    </row>
    <row r="88" customFormat="false" ht="15" hidden="false" customHeight="false" outlineLevel="0" collapsed="false">
      <c r="A88" s="0" t="n">
        <v>87</v>
      </c>
      <c r="B88" s="0" t="s">
        <v>169</v>
      </c>
    </row>
    <row r="89" customFormat="false" ht="15" hidden="false" customHeight="false" outlineLevel="0" collapsed="false">
      <c r="A89" s="0" t="n">
        <v>88</v>
      </c>
      <c r="B89" s="0" t="s">
        <v>170</v>
      </c>
    </row>
    <row r="90" customFormat="false" ht="15" hidden="false" customHeight="false" outlineLevel="0" collapsed="false">
      <c r="A90" s="0" t="n">
        <v>89</v>
      </c>
      <c r="B90" s="0" t="s">
        <v>171</v>
      </c>
    </row>
    <row r="91" customFormat="false" ht="15" hidden="false" customHeight="false" outlineLevel="0" collapsed="false">
      <c r="A91" s="0" t="n">
        <v>90</v>
      </c>
      <c r="B91" s="0" t="s">
        <v>172</v>
      </c>
    </row>
    <row r="92" customFormat="false" ht="15" hidden="false" customHeight="false" outlineLevel="0" collapsed="false">
      <c r="A92" s="0" t="n">
        <v>91</v>
      </c>
      <c r="B92" s="0" t="s">
        <v>173</v>
      </c>
    </row>
    <row r="93" customFormat="false" ht="15" hidden="false" customHeight="false" outlineLevel="0" collapsed="false">
      <c r="A93" s="0" t="n">
        <v>92</v>
      </c>
      <c r="B93" s="0" t="s">
        <v>174</v>
      </c>
    </row>
    <row r="94" customFormat="false" ht="15" hidden="false" customHeight="false" outlineLevel="0" collapsed="false">
      <c r="A94" s="0" t="n">
        <v>93</v>
      </c>
      <c r="B94" s="0" t="s">
        <v>175</v>
      </c>
    </row>
    <row r="95" customFormat="false" ht="15" hidden="false" customHeight="false" outlineLevel="0" collapsed="false">
      <c r="A95" s="0" t="n">
        <v>94</v>
      </c>
      <c r="B95" s="0" t="s">
        <v>176</v>
      </c>
    </row>
    <row r="96" customFormat="false" ht="15" hidden="false" customHeight="false" outlineLevel="0" collapsed="false">
      <c r="A96" s="0" t="n">
        <v>95</v>
      </c>
      <c r="B96" s="0" t="s">
        <v>177</v>
      </c>
    </row>
    <row r="97" customFormat="false" ht="15" hidden="false" customHeight="false" outlineLevel="0" collapsed="false">
      <c r="A97" s="0" t="n">
        <v>96</v>
      </c>
      <c r="B97" s="0" t="s">
        <v>178</v>
      </c>
    </row>
    <row r="98" customFormat="false" ht="15" hidden="false" customHeight="false" outlineLevel="0" collapsed="false">
      <c r="A98" s="0" t="n">
        <v>97</v>
      </c>
      <c r="B98" s="0" t="s">
        <v>179</v>
      </c>
    </row>
    <row r="99" customFormat="false" ht="15" hidden="false" customHeight="false" outlineLevel="0" collapsed="false">
      <c r="A99" s="0" t="n">
        <v>98</v>
      </c>
      <c r="B99" s="0" t="s">
        <v>180</v>
      </c>
    </row>
    <row r="100" customFormat="false" ht="15" hidden="false" customHeight="false" outlineLevel="0" collapsed="false">
      <c r="A100" s="0" t="n">
        <v>99</v>
      </c>
      <c r="B100" s="0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2026-08-18T11:59:19Z</dcterms:created>
  <dc:creator>openpyxl</dc:creator>
  <dc:description/>
  <dc:language>en-US</dc:language>
  <cp:lastModifiedBy>Abhishek kumar</cp:lastModifiedBy>
  <dcterms:modified xsi:type="dcterms:W3CDTF">2026-08-18T18:28:42Z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